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시나리오" sheetId="1" state="visible" r:id="rId3"/>
    <sheet name="요약" sheetId="2" state="visible" r:id="rId4"/>
    <sheet name="통합 내역" sheetId="3" state="visible" r:id="rId5"/>
    <sheet name="안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<sst xmlns="http://schemas.openxmlformats.org/spreadsheetml/2006/main" count="627" uniqueCount="357">
  <si>
    <t xml:space="preserve">배터리 주문 관리 — E2E 테스트 시나리오 (팀 통합본)</t>
  </si>
  <si>
    <t xml:space="preserve">작성: 팀 통합 (SangwooSong, KewryByun, ctkim1005, sy9169) · 개인별 시나리오 72개를 중복 제거해 36개로 정리 · 담당자는 GitHub 아이디</t>
  </si>
  <si>
    <t xml:space="preserve">시나리오당 예상시간 기준(초) →</t>
  </si>
  <si>
    <t xml:space="preserve">No.</t>
  </si>
  <si>
    <t xml:space="preserve">영역</t>
  </si>
  <si>
    <t xml:space="preserve">시나리오</t>
  </si>
  <si>
    <t xml:space="preserve">절차</t>
  </si>
  <si>
    <t xml:space="preserve">목적</t>
  </si>
  <si>
    <t xml:space="preserve">예상시간</t>
  </si>
  <si>
    <t xml:space="preserve">Pass 조건</t>
  </si>
  <si>
    <t xml:space="preserve">담당자</t>
  </si>
  <si>
    <t xml:space="preserve">로그인</t>
  </si>
  <si>
    <t xml:space="preserve">올바른 계정으로 로그인하면 주문 목록으로 이동</t>
  </si>
  <si>
    <t xml:space="preserve">[사전 조건] 로그아웃 상태
1. /login 접속
2. 아이디 admin, 비밀번호 admin 입력
3. 로그인 클릭</t>
  </si>
  <si>
    <t xml:space="preserve">올바른 계정으로 로그인하면 업무 화면으로 진입하는지 확인</t>
  </si>
  <si>
    <t xml:space="preserve">- /orders 로 이동
- '주문 목록' 제목과 '주문 추가' 버튼 표시
- 상단에 사용자명 'admin' 과 '로그아웃' 버튼 표시</t>
  </si>
  <si>
    <t xml:space="preserve">kewrybyun0119</t>
  </si>
  <si>
    <t xml:space="preserve">잘못된 계정 정보로 로그인 실패</t>
  </si>
  <si>
    <t xml:space="preserve">[사전 조건] 로그아웃 상태
1. 아이디 admin, 틀린 비밀번호로 로그인
2. 틀린 아이디, 비밀번호 admin 으로 로그인</t>
  </si>
  <si>
    <t xml:space="preserve">잘못된 계정 정보가 거부되고 이유가 안내되는지 확인</t>
  </si>
  <si>
    <t xml:space="preserve">- 두 경우 모두 로그인 화면 유지 (주소에 ;jsessionid=… 가 붙는 것은 허용)
- '아이디 또는 비밀번호가 올바르지 않습니다' 표시
- /orders 로 이동하지 않음</t>
  </si>
  <si>
    <t xml:space="preserve">sy9169park</t>
  </si>
  <si>
    <t xml:space="preserve">접근 통제</t>
  </si>
  <si>
    <t xml:space="preserve">로그인 없이, 로그아웃 후 보호 기능 접근 차단</t>
  </si>
  <si>
    <t xml:space="preserve">[사전 조건] 로그아웃 상태(새 브라우저 컨텍스트)
1. /orders, /orders/new, /master 를 차례로 접속
2. 로그인 없이 POST /api/simulate 요청
3. admin / admin 으로 로그인한 뒤 '로그아웃' 클릭, /orders 에 다시 접속</t>
  </si>
  <si>
    <t xml:space="preserve">세션이 없거나 끝난 뒤에는 어떤 화면과 데이터도 열리지 않는지 확인</t>
  </si>
  <si>
    <t xml:space="preserve">- 1, 3: /login 으로 이동하고 주문 정보가 보이지 않음
- 2: HTTP 401 로 거절</t>
  </si>
  <si>
    <t xml:space="preserve">ctkim1005</t>
  </si>
  <si>
    <t xml:space="preserve">로그인 상태에서 /login 또는 / 접속 시 주문 목록으로 이동</t>
  </si>
  <si>
    <t xml:space="preserve">[사전 조건] 로그인 상태
1. /login 접속
2. / 접속</t>
  </si>
  <si>
    <t xml:space="preserve">이미 로그인한 사용자가 로그인 화면을 거치지 않고 목록으로 안내되는지 확인</t>
  </si>
  <si>
    <t xml:space="preserve">- 두 경우 모두 /orders 로 이동</t>
  </si>
  <si>
    <t xml:space="preserve">ssw60040-prog</t>
  </si>
  <si>
    <t xml:space="preserve">공통 화면</t>
  </si>
  <si>
    <t xml:space="preserve">상단 메뉴로 화면 이동과 현재 메뉴 강조</t>
  </si>
  <si>
    <t xml:space="preserve">[사전 조건] 로그인 상태
1. '주문 추가' 클릭
2. '마스터 데이터' 클릭
3. '주문 목록' 클릭
4. 로고('배터리 주문 관리') 클릭</t>
  </si>
  <si>
    <t xml:space="preserve">상단 메뉴로 주요 화면을 오갈 수 있고 현재 위치가 표시되는지 확인</t>
  </si>
  <si>
    <t xml:space="preserve">- 각각 /orders/new, /master, /orders, /orders 로 이동
- 현재 화면의 메뉴가 강조(active) 표시</t>
  </si>
  <si>
    <t xml:space="preserve">주문 추가·시뮬레이션</t>
  </si>
  <si>
    <t xml:space="preserve">기본 수량(12,000K)으로 시뮬레이션과 방문 횟수 표시</t>
  </si>
  <si>
    <t xml:space="preserve">[사전 조건] 로그인 상태, 기본 마스터 데이터
1. /orders/new 접속
2. 값을 바꾸지 않고 '시뮬레이션 실행' 클릭</t>
  </si>
  <si>
    <t xml:space="preserve">기본 입력으로 경로 3가지가 계산·표시되고 필요 방문 횟수가 나오는지 확인 (핵심 기능)</t>
  </si>
  <si>
    <t xml:space="preserve">- 초기값: 총 생산 필요 수 12,000K, 중국·일본·베트남·인도네시아 각 3,000K
- 경로안 3개 표시: 운항비 최소 / 가장 빠르게 / 가까운 곳부터 (각각 소요일·총 비용), 기본 선택은 '운항비 최소'
- 지도 애니메이션 영역, 상세 표, '3. 주문 확정' 영역 표시
- 필요 방문 횟수: 일본 2회, 중국·베트남·인도네시아 각 1회</t>
  </si>
  <si>
    <t xml:space="preserve">총 생산 필요 수 변경 시 4개국 균등 분배, 잘못된 값은 이전 값으로 복구</t>
  </si>
  <si>
    <t xml:space="preserve">[사전 조건] /orders/new 화면
1. 총 생산 필요 수에 10000 입력(change)
2. 10001 입력
3. 0 입력
4. 입력칸을 비움</t>
  </si>
  <si>
    <t xml:space="preserve">총 수량을 바꾸면 4개국에 균등 분배되고, 잘못된 값(0·빈 값)은 직전 값으로 복구되는지 확인</t>
  </si>
  <si>
    <t xml:space="preserve">- 10000 → 각 2,500K
- 10001 → 중국 2,501K, 나머지 2,500K (나머지는 앞 나라부터 1씩 배분)
- 0·빈 값은 입력칸이 직전 값으로 되돌아가고 게이지 값은 변하지 않음
- 합계는 항상 총 생산 필요 수와 같음</t>
  </si>
  <si>
    <t xml:space="preserve">수량 게이지 연동: 오른쪽 나라가 반대로 조정</t>
  </si>
  <si>
    <t xml:space="preserve">[사전 조건] 기본값 12,000K (각 3,000K)
1. 중국 수량 입력칸에 4000 입력
2. 인도네시아 수량 입력칸에 1000 입력</t>
  </si>
  <si>
    <t xml:space="preserve">한 나라의 수량을 바꾸면 인접한 나라가 반대로 조정되고 합계가 유지되는지 확인</t>
  </si>
  <si>
    <t xml:space="preserve">- 1: 중국 4,000K, 일본 2,000K (오른쪽 나라가 반대로 조정), 베트남·인도네시아는 3,000K 그대로, 합계 12,000K 유지
- 2: 인도네시아 1,000K, 중국이 조정 (맨 오른쪽은 맨 왼쪽이 조정), 합계 12,000K 유지</t>
  </si>
  <si>
    <t xml:space="preserve">게이지 경계값 보정(초과·음수)</t>
  </si>
  <si>
    <t xml:space="preserve">[사전 조건] 기본값 12,000K
1. 중국 수량에 99999 입력
2. 중국 수량에 -5 입력</t>
  </si>
  <si>
    <t xml:space="preserve">게이지 입력의 한계값(초과·음수)이 올바르게 보정되는지 확인</t>
  </si>
  <si>
    <t xml:space="preserve">- 1: 중국과 일본 합(6,000K)까지만 반영 → 중국 6,000K, 일본 0K
- 2: 0 미만은 0 으로 보정 → 중국 0K, 일본 6,000K
- 합계는 항상 12,000K</t>
  </si>
  <si>
    <t xml:space="preserve">수량이 0인 나라가 있어도 시뮬레이션</t>
  </si>
  <si>
    <t xml:space="preserve">[사전 조건] /orders/new 화면
1. 중국 수량을 6000 으로 조정(일본 0K)
2. 시뮬레이션 실행</t>
  </si>
  <si>
    <t xml:space="preserve">주문하지 않는 나라(0K)가 있어도 계산이 정상 동작하는지 확인</t>
  </si>
  <si>
    <t xml:space="preserve">- 오류 없이 3개 경로안 표시
- 일본은 방문하지 않음 (결과 상세에 일본 수거 없음)
- 게이지 아래 일본 '방문 0회'</t>
  </si>
  <si>
    <t xml:space="preserve">경로안 선택 전환 시 화면 갱신</t>
  </si>
  <si>
    <t xml:space="preserve">[사전 조건] 시뮬레이션 결과 표시 상태
1. '가장 빠르게' 클릭
2. '가까운 곳부터' 클릭</t>
  </si>
  <si>
    <t xml:space="preserve">경로안을 바꿔 가며 비교할 수 있고 화면이 선택에 맞게 갱신되는지 확인</t>
  </si>
  <si>
    <t xml:space="preserve">- 클릭한 경로안만 선택(강조) 상태
- 요약·상세 표·지도 애니메이션이 선택한 안으로 갱신</t>
  </si>
  <si>
    <t xml:space="preserve">시뮬레이션 전에는 확정 영역 숨김, 입력을 바꾸면 이전 결과 사라짐</t>
  </si>
  <si>
    <t xml:space="preserve">[사전 조건] /orders/new 최초 진입
1. 화면 확인
2. '시뮬레이션 실행' 클릭
3. 게이지 값 또는 총 생산 필요 수를 변경</t>
  </si>
  <si>
    <t xml:space="preserve">시뮬레이션 전에는 확정 단계가 노출되지 않고, 입력이 바뀌면 이전 결과로 확정되지 않는지 확인</t>
  </si>
  <si>
    <t xml:space="preserve">- 1: '시뮬레이션 실행' 버튼만 보이고 결과·'3. 주문 확정' 영역은 숨김
- 3: 결과 영역(경로안·확정 영역)이 숨겨짐 → 변경된 입력으로 다시 실행해야 확정 가능</t>
  </si>
  <si>
    <t xml:space="preserve">총 수량 상한(100,000K) 초과 거절과 복구</t>
  </si>
  <si>
    <t xml:space="preserve">[사전 조건] 로그인 상태, 주문 목록의 '전체' 건수를 기록
1. /orders/new 에서 총 생산 필요 수에 100001 입력 후 시뮬레이션 실행
2. 총 수량을 12000 으로 되돌려 다시 실행
3. 주문 목록의 '전체' 건수 확인</t>
  </si>
  <si>
    <t xml:space="preserve">상한을 넘는 입력이 이유와 함께 거절되고, 이후 화면이 정상으로 이어지는지 확인</t>
  </si>
  <si>
    <t xml:space="preserve">- 1: '총 생산 필요 수는 100,000K 이하여야 합니다' 오류 표시, 시뮬레이션 결과 영역 미표시
- 2: 3가지 안이 정상으로 표시
- 3: 주문 건수 불변</t>
  </si>
  <si>
    <t xml:space="preserve">입력 검증</t>
  </si>
  <si>
    <t xml:space="preserve">수량 0, 음수 요청 거절</t>
  </si>
  <si>
    <t xml:space="preserve">[사전 조건] 로그인 상태
1. 4개 나라 수량을 모두 0으로 POST /api/simulate 요청
2. 중국 -5, 일본 100 으로 다시 요청</t>
  </si>
  <si>
    <t xml:space="preserve">잘못된 수량이 계산에 쓰이지 않고 이유와 함께 거절되는지 확인</t>
  </si>
  <si>
    <t xml:space="preserve">- 1: HTTP 400, 오류 '총 생산 필요 수는 1K 이상이어야 합니다'
- 2: HTTP 400, 오류 '중국 주문 수량은 0 이상이어야 합니다'
- 두 경우 모두 3가지 안이 반환되지 않음</t>
  </si>
  <si>
    <t xml:space="preserve">주문 확정</t>
  </si>
  <si>
    <t xml:space="preserve">경로안 선택 후 메모와 함께 확정</t>
  </si>
  <si>
    <t xml:space="preserve">[사전 조건] 시뮬레이션 결과 표시 상태, 주문 목록 건수 기록
1. '가장 빠르게' 선택
2. 메모에 '3분기 긴급 물량' 입력
3. '주문 확정' 클릭</t>
  </si>
  <si>
    <t xml:space="preserve">경로안 선택·메모 입력·확정이 한 번에 저장되고 이력이 남는지 확인 (주문 1건 생성)</t>
  </si>
  <si>
    <t xml:space="preserve">- /orders/{id} 상세로 이동
- 상태 '확정', 경로 '가장 빠르게', 메모 '3분기 긴급 물량', 작성자 admin
- 상세의 소요일·총 비용이 확정 직전 결과 화면과 일치
- 상태 이력 1건 (이전 '-' → '확정', admin)</t>
  </si>
  <si>
    <t xml:space="preserve">메모 없이 확정하면 목록 최상단에 반영</t>
  </si>
  <si>
    <t xml:space="preserve">[사전 조건] 시뮬레이션 결과 표시 상태, 주문 목록의 '전체'·'확정' 건수 기록
1. 메모를 비워 둔 채 '주문 확정' 클릭
2. 주문 목록으로 이동</t>
  </si>
  <si>
    <t xml:space="preserve">선택 항목인 메모 없이도 확정되고, 확정한 주문이 목록과 건수에 즉시 반영되는지 확인 (주문 1건 생성)</t>
  </si>
  <si>
    <t xml:space="preserve">- 확정 성공, 상세 메모 칸에 '-' 표시
- 목록 최상단에 방금 확정한 주문(번호 내림차순)
- 확정 일시, 총 수량(천 단위 콤마), 경로, 소요 일수, 총 비용(억원), 상태 '확정', 작성자 admin 표시
- '전체'·'확정' 칩 건수가 1 증가</t>
  </si>
  <si>
    <t xml:space="preserve">메모 1,000자 제한: 화면 입력 제한과 우회 요청 거절</t>
  </si>
  <si>
    <t xml:space="preserve">[사전 조건] 로그인 상태, 주문 목록 건수 기록
1. 시뮬레이션 후 메모 입력칸에 1,001자 입력
2. GET /api/master 로 기준값 번호(version)를 읽고, 메모 1,001자로 POST /api/orders 확정 요청
3. 주문 목록 건수 확인</t>
  </si>
  <si>
    <t xml:space="preserve">화면 제한과 우회 요청 모두에서 메모 길이가 지켜지는지 확인</t>
  </si>
  <si>
    <t xml:space="preserve">- 1: 입력칸이 1,000자까지만 받음 (maxlength)
- 2: HTTP 400, 오류 '메모는 1000자 이하로 입력하세요'
- 3: 주문 건수가 늘지 않음</t>
  </si>
  <si>
    <t xml:space="preserve">시뮬레이션 뒤 기준값이 바뀌면 확정 거절</t>
  </si>
  <si>
    <t xml:space="preserve">[사전 조건] 기본 기준값, 같은 로그인 세션의 탭 2개, 주문 건수 기록
1. 탭 A: 주문 추가에서 시뮬레이션 실행(확정하지 않음)
2. 탭 B: 기준값 화면에서 값을 바꾸지 않고 그대로 저장(기준값 번호만 올라감)
3. 탭 A: '주문 확정' 클릭
4. 주문 목록 건수 확인</t>
  </si>
  <si>
    <t xml:space="preserve">결과를 본 뒤 기준값이 바뀐 경우 오래된 결과로 주문이 확정되지 않는지 확인 (데이터 정합성)</t>
  </si>
  <si>
    <t xml:space="preserve">- 3: '시뮬레이션 이후 마스터 데이터가 바뀌었습니다. 다시 시뮬레이션해 주세요' 표시, 주문 상세로 이동하지 않음
- 4: 주문 건수가 늘지 않음
- 다시 시뮬레이션한 뒤에는 확정 성공</t>
  </si>
  <si>
    <t xml:space="preserve">확정된 주문 상세에 저장된 계획 표시</t>
  </si>
  <si>
    <t xml:space="preserve">[사전 조건] 주문 1건 확정 완료
1. 주문 상세 화면 확인
2. 화면을 새로고침</t>
  </si>
  <si>
    <t xml:space="preserve">확정된 주문의 저장된 계획이 상세 화면에서 조회되는지 확인</t>
  </si>
  <si>
    <t xml:space="preserve">- 요약, 상세 표, '지도 애니메이션(저장된 계획)' 영역 표시
- 새로고침해도 같은 내용 (저장된 계획 사용)</t>
  </si>
  <si>
    <t xml:space="preserve">주문 목록</t>
  </si>
  <si>
    <t xml:space="preserve">목록 화면 구성과 이동(주문 추가, 행 클릭)</t>
  </si>
  <si>
    <t xml:space="preserve">[사전 조건] 로그인 상태, 주문 1건 이상
1. /orders 접속
2. '주문 추가' 클릭
3. 목록으로 돌아와 주문 행(번호 링크가 아닌 칸)을 클릭</t>
  </si>
  <si>
    <t xml:space="preserve">목록 화면의 구성이 올바르고 새 주문·상세 화면으로 이동할 수 있는지 확인</t>
  </si>
  <si>
    <t xml:space="preserve">- 제목 '주문 목록', '주문 추가' 버튼
- 필터 칩: 전체 / 확정 / 진행 / 완료 / 취소 (각 건수 숫자 표시)
- 표 헤더: 주문번호, 확정 일시, 총 수량(K), 경로, 소요 일수, 총 비용(억원), 상태, 작성자
- 2: /orders/new 로 이동, '주문 추가' 제목 표시
- 3: 해당 주문 상세(/orders/{id})로 이동</t>
  </si>
  <si>
    <t xml:space="preserve">상태 필터와 건수 집계 일치</t>
  </si>
  <si>
    <t xml:space="preserve">[사전 조건] 확정·진행·완료 상태의 주문이 각각 1건 이상
1. '진행' 칩 클릭
2. '완료' 칩 클릭
3. '전체' 칩 클릭
4. 각 칩의 건수와 필터 결과의 행 수를 비교</t>
  </si>
  <si>
    <t xml:space="preserve">상태별 필터가 해당 상태의 주문만 보여 주고 건수 집계가 실제 목록과 일치하는지 확인</t>
  </si>
  <si>
    <t xml:space="preserve">- 1: 진행 상태 주문만 표시, '진행' 칩 강조, URL 에 status=IN_PROGRESS
- 2: 완료 상태 주문만 표시
- 3: 모든 주문 표시
- 4: 칩 건수 = 필터링된 행 수, 전체 = 상태별 건수의 합</t>
  </si>
  <si>
    <t xml:space="preserve">주문 상태</t>
  </si>
  <si>
    <t xml:space="preserve">핵심 업무 흐름: 확정 → 진행 → 완료, 완료는 최종 상태</t>
  </si>
  <si>
    <t xml:space="preserve">[사전 조건] 로그인 상태, 완료 건수 기록
1. 기본값(12,000K)으로 시뮬레이션 실행
2. '운항비 최소' 선택, 메모 입력 후 주문 확정
3. 상세에서 '진행(으)로 변경' → 확인창 수락
4. '완료(으)로 변경' → 확인창 수락
5. 주문 목록으로 이동</t>
  </si>
  <si>
    <t xml:space="preserve">핵심 업무 흐름이 처음부터 끝까지 끊김 없이 동작하고 완료가 최종 상태로 잠기는지 확인 (주문 1건 생성)</t>
  </si>
  <si>
    <t xml:space="preserve">- 확정 후 상세 화면(/orders/{id})으로 이동, 상태 '확정'
- 3: "상태를 '진행'(으)로 바꿨습니다" 메시지, 배지 '진행', 변경 버튼은 '완료(으)로 변경'·'취소(으)로 변경'
- 4: 배지 '완료', 변경 버튼 없음, '최종 상태라 더 바꿀 수 없습니다.' 표시
- 상태 이력 3건 (확정·진행·완료)
- 5: 목록의 '완료' 칩 건수가 1 증가, 해당 주문 상태 '완료'</t>
  </si>
  <si>
    <t xml:space="preserve">확정 상태의 변경 버튼 확인과 확인창 취소 시 변화 없음</t>
  </si>
  <si>
    <t xml:space="preserve">[사전 조건] 확정 상태 주문
1. 상세 화면 확인
2. '진행(으)로 변경' 클릭 → 확인창에서 '취소(Dismiss)'</t>
  </si>
  <si>
    <t xml:space="preserve">확정 상태에서 허용된 버튼만 노출되고, 확인창에서 취소하면 변경이 일어나지 않는지 확인</t>
  </si>
  <si>
    <t xml:space="preserve">- 1: '진행(으)로 변경', '취소(으)로 변경' 버튼만 표시, '완료(으)로 변경' 버튼 없음 (확정 → 완료 불가)
- 2: 상태 '확정' 유지, 이력 1건 그대로, 안내 메시지 없음</t>
  </si>
  <si>
    <t xml:space="preserve">허용되지 않는 상태 변경(확정 → 완료) 요청 거절</t>
  </si>
  <si>
    <t xml:space="preserve">[사전 조건] 로그인 상태
1. 시뮬레이션과 확정으로 주문 1건 생성(상태 '확정')
2. 주문 상세의 변경 번호(version)를 읽어, 화면 버튼 없이 POST /orders/{id}/status 로 status=COMPLETED 전송
3. 주문 상세 다시 확인</t>
  </si>
  <si>
    <t xml:space="preserve">정해진 순서를 건너뛰는 상태 변경이 화면을 거치지 않아도 거절되는지 확인 (주문 1건 생성)</t>
  </si>
  <si>
    <t xml:space="preserve">- 2: 주문 상세로 돌아오고 '확정 상태에서는 완료(으)로 바꿀 수 없습니다' 표시
- 3: 상태는 여전히 '확정', 변경 이력은 1건 (확정)</t>
  </si>
  <si>
    <t xml:space="preserve">두 탭에서 같은 주문을 동시에 변경하면 나중 요청은 거절</t>
  </si>
  <si>
    <t xml:space="preserve">[사전 조건] 확정 상태 주문. 같은 주문 상세를 탭 A, 탭 B 에서 모두 연 상태
1. 탭 A: '진행(으)로 변경' → 확인창 수락
2. 탭 B(새로고침하지 않음): '취소(으)로 변경' → 확인창 수락</t>
  </si>
  <si>
    <t xml:space="preserve">오래된 화면으로 같은 주문을 바꾸려 할 때 먼저 바꾼 쪽만 적용되는지 확인 (동시성)</t>
  </si>
  <si>
    <t xml:space="preserve">- 탭 B: '다른 사용자가 먼저 이 주문을 변경했습니다. 화면을 새로 고쳐 현재 상태를 확인한 뒤 다시 시도해 주세요' 표시
- 주문은 삭제되지 않고 상태 '진행', 변경 이력 2건 (확정, 진행)</t>
  </si>
  <si>
    <t xml:space="preserve">확정·진행 상태에서 취소 (결함 후보)</t>
  </si>
  <si>
    <t xml:space="preserve">[사전 조건] 확정 상태 주문 1건, 진행 상태 주문 1건
1. 확정 주문 상세에서 '취소(으)로 변경' → 확인창 수락
2. 진행 주문 상세에서 '취소(으)로 변경' → 확인창 수락</t>
  </si>
  <si>
    <t xml:space="preserve">취소가 설명 자료 기준(취소 상태로 남음)대로 동작하는지 확인 (PRD §10-1, INTENT §7-1 결정 전까지 결함 후보)</t>
  </si>
  <si>
    <t xml:space="preserve">[설명 자료 기준 기대] 주문이 '취소' 상태로 남고 배지 '취소', '최종 상태라 더 바꿀 수 없습니다.' 표시, 목록의 '취소' 칩 건수 +1
[현재 동작] 주문이 삭제되고, 삭제된 주문의 상세로 이동하다 오류 화면 발생 (목록 '취소' 건수는 항상 0)
※ 결정이 나기 전에는 현재 동작 그대로가 Fail 로 나올 수 있음</t>
  </si>
  <si>
    <t xml:space="preserve">존재하지 않는 주문 번호 접근 (결함 후보)</t>
  </si>
  <si>
    <t xml:space="preserve">[사전 조건] 로그인 상태
1. /orders/999999 접속
2. 화면의 메뉴로 /orders 접속</t>
  </si>
  <si>
    <t xml:space="preserve">없는 주문을 열어도 오류 화면에 갇히지 않고 안내와 함께 계속 쓸 수 있는지 확인</t>
  </si>
  <si>
    <t xml:space="preserve">- 1: 오류 화면(HTTP 500)이 아니라 '주문을 찾을 수 없습니다' 같은 안내가 표시되고 메뉴를 쓸 수 있음
- 2: 주문 목록이 정상으로 열림
※ 현재는 HTTP 500 오류 화면이 나오는 것을 확인함 (Fail 예상)</t>
  </si>
  <si>
    <t xml:space="preserve">마스터 데이터</t>
  </si>
  <si>
    <t xml:space="preserve">기본 기준값 표시</t>
  </si>
  <si>
    <t xml:space="preserve">[사전 조건] 앱 최초 기동 상태의 기본 기준값
1. /master 접속</t>
  </si>
  <si>
    <t xml:space="preserve">기본 기준 정보가 올바르게 표시되는지 확인</t>
  </si>
  <si>
    <t xml:space="preserve">- 공장 4곳의 하루 최대 생산량·재고 상한·셀당 원가가 기본값으로 표시 (중국 400/4,000/700, 일본 800/2,000/900, 베트남 200/10,000/550, 인도네시아 300/7,000/450)
- 배 척수 3, 척당 일 운항비 1
- 항로 표에 기본 항해 일수 (한국–중국 1일 등)</t>
  </si>
  <si>
    <t xml:space="preserve">값 수정 후 저장하면 유지됨</t>
  </si>
  <si>
    <t xml:space="preserve">[사전 조건] /master 화면
1. 중국 하루 최대 생산량을 500 으로 변경
2. '저장' 클릭
3. 화면을 새로고침
4. 원래 값(400)으로 되돌려 저장</t>
  </si>
  <si>
    <t xml:space="preserve">기준 정보 수정·저장이 반영되고 유지되는지 확인</t>
  </si>
  <si>
    <t xml:space="preserve">- '마스터 데이터를 저장했습니다' 메시지
- 새로고침 후에도 500 유지
- 4 이후 400 으로 복원</t>
  </si>
  <si>
    <t xml:space="preserve">잘못된 기준값은 모두 안내하고 아무것도 저장하지 않음</t>
  </si>
  <si>
    <t xml:space="preserve">[사전 조건] /master 화면, 현재 값 기록
1. 중국 하루 최대 생산량을 500 으로 변경(올바른 값)
2. 중국 재고 상한과 일본 셀당 원가를 비움(틀린 값)
3. '저장' 클릭
4. /master 를 새로 열어 값 확인</t>
  </si>
  <si>
    <t xml:space="preserve">일부만 틀려도 틀린 곳이 한꺼번에 안내되고, 올바른 값도 저장되지 않는지 확인 (전부 저장 또는 무저장)</t>
  </si>
  <si>
    <t xml:space="preserve">- 3: '저장하지 않았습니다. 아래 값을 확인하세요.' 와 오류 사유 2개 이상 표시 (예: '중국 재고 상한은(는) 정수로 입력하세요', '일본 셀당 원가은(는) 정수로 입력하세요')
- 다른 입력칸의 값은 그대로 유지
- 4: 모든 값이 1단계와 같음 (중국 하루 최대 생산량도 원래 값 400)</t>
  </si>
  <si>
    <t xml:space="preserve">척당 일 운항비 입력 검증</t>
  </si>
  <si>
    <t xml:space="preserve">[사전 조건] /master 화면
1. 운항비에 0 입력 후 저장
2. abc 입력 후 저장
3. 0.123456789 입력 후 저장
4. 1.5 입력 후 저장
5. 원래 값(1)으로 되돌려 저장</t>
  </si>
  <si>
    <t xml:space="preserve">척당 일 운항비 입력 검증 규칙이 올바르게 적용되는지 확인</t>
  </si>
  <si>
    <t xml:space="preserve">- 0: '척당 일 운항비는 0보다 커야 합니다'
- abc: '척당 일 운항비(억 원)는 숫자로 입력하세요'
- 0.123456789: 원 단위로 떨어지지 않는다는 오류
- 1.5: 저장 성공 (1.5억 원 = 150,000,000원)</t>
  </si>
  <si>
    <t xml:space="preserve">배 척수 범위(1~4): 화면 검증과 우회 요청 거절</t>
  </si>
  <si>
    <t xml:space="preserve">[사전 조건] /master 화면, 현재 배 척수 기록
1. 배 척수 1 저장, 4 저장
2. 5 입력 시도, 0 입력 시도
3. 화면 제한을 우회해 shipCount=9 로 POST /master 전송
4. 원래 값으로 되돌려 저장</t>
  </si>
  <si>
    <t xml:space="preserve">배 척수 범위(1~4)가 화면과 시스템 양쪽에서 지켜지는지 확인</t>
  </si>
  <si>
    <t xml:space="preserve">- 1: 저장 성공
- 2: 브라우저 검증(max=4, min=1)이 제출을 막음 (서버로 전송되지 않음)
- 3: '배 척수은(는) 1 이상 4 이하의 정수여야 합니다' 표시, 값 저장되지 않음</t>
  </si>
  <si>
    <t xml:space="preserve">저장한 기준값이 이후 시뮬레이션에 반영</t>
  </si>
  <si>
    <t xml:space="preserve">[사전 조건] /master 화면
1. 배 척수를 1 로 저장
2. 일본 재고 상한을 3000 으로 저장
3. 주문 추가에서 기본값(일본 3,000K)으로 시뮬레이션 실행
4. 두 값을 원래대로(3척, 2000) 되돌려 저장</t>
  </si>
  <si>
    <t xml:space="preserve">저장한 배 척수와 재고 상한이 이후 시뮬레이션에 반영되는지 확인</t>
  </si>
  <si>
    <t xml:space="preserve">- 모든 경로안의 '배 N척' 이 1척
- 일본 '방문 1회' (기존 2회)
- 4 이후 원래 값으로 복원</t>
  </si>
  <si>
    <t xml:space="preserve">항로 일수 변경 시 소요일 증가</t>
  </si>
  <si>
    <t xml:space="preserve">[사전 조건] /master 화면, 중국만 주문(예: 중국 3,000K)
1. 한국–중국 항해 일수 1 → 5 로 저장
2. 시뮬레이션 실행
3. 원래 값(1)으로 되돌려 저장</t>
  </si>
  <si>
    <t xml:space="preserve">항로 일수 변경이 소요일 계산에 반영되는지 확인</t>
  </si>
  <si>
    <t xml:space="preserve">- 변경 전보다 총 소요일이 증가 (왕복이 길어짐)
- 3 이후 원래 값으로 복원</t>
  </si>
  <si>
    <t xml:space="preserve">기준값 변경은 이미 확정된 주문의 계획을 바꾸지 않음</t>
  </si>
  <si>
    <t xml:space="preserve">[사전 조건] 기본 기준값
1. 주문 1건 확정 (소요일·총 비용 기록)
2. 기준값에서 배 척수·운항비·원가 변경 후 저장
3. 해당 주문 상세 다시 열기
4. 기준값을 원래대로 되돌려 저장</t>
  </si>
  <si>
    <t xml:space="preserve">기준 정보 변경이 이미 확정된 주문에 영향을 주지 않는지 확인 (확정 주문 보존)</t>
  </si>
  <si>
    <t xml:space="preserve">- 상세의 소요일·총 비용·경로가 변경 전과 동일
- 새 시뮬레이션은 변경된 값으로 계산됨
- 4 이후 원래 값으로 복원</t>
  </si>
  <si>
    <t xml:space="preserve">요청 형식</t>
  </si>
  <si>
    <t xml:space="preserve">깨진 요청 뒤에도 앱이 정상 동작</t>
  </si>
  <si>
    <t xml:space="preserve">[사전 조건] 로그인 상태
1. POST /api/simulate 에 끝나지 않은 JSON ({"orders":) 전송
2. 존재하지 않는 나라 이름 ({"orders":{"MARS":100}}) 전송
3. 정상 수량으로 다시 시뮬레이션하고 /orders 접속</t>
  </si>
  <si>
    <t xml:space="preserve">비정상 요청이 앱을 멈추게 하거나 내부 정보를 드러내지 않는지 확인</t>
  </si>
  <si>
    <t xml:space="preserve">- 1, 2: HTTP 400 이고 응답에 서버 내부 정보(trace 등 오류 추적 내용)가 없음
- 3: 3가지 안이 정상으로 나오고 /orders 가 열림
※ 현재 응답에 trace 가 포함되는 것을 확인함 (Fail 예상)</t>
  </si>
  <si>
    <t xml:space="preserve">시나리오 현황 요약</t>
  </si>
  <si>
    <t xml:space="preserve">'시나리오' 시트의 값으로 자동 계산됩니다. 담당자나 예상시간을 바꾸면 함께 바뀝니다.</t>
  </si>
  <si>
    <t xml:space="preserve">담당자 (GitHub 아이디)</t>
  </si>
  <si>
    <t xml:space="preserve">시나리오 수</t>
  </si>
  <si>
    <t xml:space="preserve">예상시간 합계</t>
  </si>
  <si>
    <t xml:space="preserve">최대 예상시간</t>
  </si>
  <si>
    <t xml:space="preserve">20초 초과 건수</t>
  </si>
  <si>
    <t xml:space="preserve">합계</t>
  </si>
  <si>
    <t xml:space="preserve">전체 시나리오 수</t>
  </si>
  <si>
    <t xml:space="preserve">담당자 미지정</t>
  </si>
  <si>
    <t xml:space="preserve">담당자 간 시나리오 수 차이</t>
  </si>
  <si>
    <t xml:space="preserve">담당자 간 예상시간 합계 차이</t>
  </si>
  <si>
    <t xml:space="preserve">예상시간 기준</t>
  </si>
  <si>
    <t xml:space="preserve">기준 충족 여부</t>
  </si>
  <si>
    <t xml:space="preserve">영역별 시나리오 수</t>
  </si>
  <si>
    <t xml:space="preserve">영역 합계</t>
  </si>
  <si>
    <t xml:space="preserve">통합 내역 — 개인 시나리오 72개가 어디에 반영되었는가</t>
  </si>
  <si>
    <t xml:space="preserve">처리: 그대로 = 1:1 반영 · 병합 = 여러 시나리오를 하나로 합침 · 분산 = 한 시나리오가 여러 통합 시나리오에 나뉨 · 제외 = 반영하지 않음</t>
  </si>
  <si>
    <t xml:space="preserve">작성자</t>
  </si>
  <si>
    <t xml:space="preserve">원본 No.</t>
  </si>
  <si>
    <t xml:space="preserve">원본 시나리오</t>
  </si>
  <si>
    <t xml:space="preserve">통합 No.</t>
  </si>
  <si>
    <t xml:space="preserve">처리</t>
  </si>
  <si>
    <t xml:space="preserve">비고</t>
  </si>
  <si>
    <t xml:space="preserve">SangwooSong</t>
  </si>
  <si>
    <t xml:space="preserve">로그인 | 올바른 계정으로 로그인</t>
  </si>
  <si>
    <t xml:space="preserve">1</t>
  </si>
  <si>
    <t xml:space="preserve">병합</t>
  </si>
  <si>
    <t xml:space="preserve">로그인 | 잘못된 비밀번호로 로그인 실패</t>
  </si>
  <si>
    <t xml:space="preserve">2</t>
  </si>
  <si>
    <t xml:space="preserve">로그인 | 비로그인 상태의 화면·API 접근 차단</t>
  </si>
  <si>
    <t xml:space="preserve">3</t>
  </si>
  <si>
    <t xml:space="preserve">주문 목록 | 목록 화면 구성과 주문 추가로 이동</t>
  </si>
  <si>
    <t xml:space="preserve">20</t>
  </si>
  <si>
    <t xml:space="preserve">주문 추가·시뮬레이션 | 기본 수량(12,000K)으로 시뮬레이션</t>
  </si>
  <si>
    <t xml:space="preserve">6</t>
  </si>
  <si>
    <t xml:space="preserve">주문 추가·시뮬레이션 | 수량 게이지 연동</t>
  </si>
  <si>
    <t xml:space="preserve">8</t>
  </si>
  <si>
    <t xml:space="preserve">주문 추가·시뮬레이션 | 총 수량 상한(100,000K) 초과 오류</t>
  </si>
  <si>
    <t xml:space="preserve">13</t>
  </si>
  <si>
    <t xml:space="preserve">주문 확정 | 경로안 선택 후 메모와 함께 확정</t>
  </si>
  <si>
    <t xml:space="preserve">15</t>
  </si>
  <si>
    <t xml:space="preserve">주문 상태 | 확정 → 진행 변경</t>
  </si>
  <si>
    <t xml:space="preserve">22</t>
  </si>
  <si>
    <t xml:space="preserve">마스터 데이터 | 빈 값 저장 거부</t>
  </si>
  <si>
    <t xml:space="preserve">30</t>
  </si>
  <si>
    <t xml:space="preserve">KewryByun</t>
  </si>
  <si>
    <t xml:space="preserve">전체 흐름 | 로그인부터 주문 완료까지 한 번에</t>
  </si>
  <si>
    <t xml:space="preserve">원본 예상시간 45초 → 20초 이내로 재구성</t>
  </si>
  <si>
    <t xml:space="preserve">로그인 | 비로그인 상태로 보호 화면 접근 시 로그인으로 이동</t>
  </si>
  <si>
    <t xml:space="preserve">로그인 | 잘못된 계정 정보로 로그인 실패</t>
  </si>
  <si>
    <t xml:space="preserve">로그인 | 로그아웃 후 보호 화면 접근 차단</t>
  </si>
  <si>
    <t xml:space="preserve">로그인 | 로그인 상태에서 /login 접속 시 주문 목록으로 이동</t>
  </si>
  <si>
    <t xml:space="preserve">4</t>
  </si>
  <si>
    <t xml:space="preserve">로그인 | 루트(/) 접속 시 주문 목록으로 이동</t>
  </si>
  <si>
    <t xml:space="preserve">공통 화면 | 상단 메뉴로 화면 이동</t>
  </si>
  <si>
    <t xml:space="preserve">5</t>
  </si>
  <si>
    <t xml:space="preserve">그대로</t>
  </si>
  <si>
    <t xml:space="preserve">주문 추가·시뮬레이션 | 기본값으로 시뮬레이션 실행</t>
  </si>
  <si>
    <t xml:space="preserve">원본 예상시간 30초 → 20초 이내로 재구성</t>
  </si>
  <si>
    <t xml:space="preserve">주문 추가·시뮬레이션 | 총 생산 필요 수 변경 시 4개국 균등 분배</t>
  </si>
  <si>
    <t xml:space="preserve">7</t>
  </si>
  <si>
    <t xml:space="preserve">주문 추가·시뮬레이션 | 게이지 조정 시 오른쪽 나라가 반대로 조정</t>
  </si>
  <si>
    <t xml:space="preserve">원본 예상시간 25초 → 20초 이내로 재구성</t>
  </si>
  <si>
    <t xml:space="preserve">주문 추가·시뮬레이션 | 게이지 경계값 처리(초과·음수)</t>
  </si>
  <si>
    <t xml:space="preserve">9</t>
  </si>
  <si>
    <t xml:space="preserve">주문 추가·시뮬레이션 | 게이지 아래 방문 횟수 표시</t>
  </si>
  <si>
    <t xml:space="preserve">주문 추가·시뮬레이션 | 경로안 선택 전환</t>
  </si>
  <si>
    <t xml:space="preserve">11</t>
  </si>
  <si>
    <t xml:space="preserve">주문 추가·시뮬레이션 | 입력을 바꾸면 이전 결과가 사라짐</t>
  </si>
  <si>
    <t xml:space="preserve">12</t>
  </si>
  <si>
    <t xml:space="preserve">주문 추가·시뮬레이션 | 총 생산 필요 수가 1 미만이면 이전 값 유지</t>
  </si>
  <si>
    <t xml:space="preserve">주문 추가·시뮬레이션 | 총 수량 상한(100,000K) 초과</t>
  </si>
  <si>
    <t xml:space="preserve">주문 추가·시뮬레이션 | 수량이 0인 나라가 있어도 시뮬레이션</t>
  </si>
  <si>
    <t xml:space="preserve">10</t>
  </si>
  <si>
    <t xml:space="preserve">주문 추가·시뮬레이션 | 시뮬레이션 전에는 주문 확정 영역이 보이지 않음</t>
  </si>
  <si>
    <t xml:space="preserve">주문 확정 | 메모 없이 확정</t>
  </si>
  <si>
    <t xml:space="preserve">16</t>
  </si>
  <si>
    <t xml:space="preserve">주문 확정 | 3가지 경로안 각각 확정 시 선택한 안이 저장됨</t>
  </si>
  <si>
    <t xml:space="preserve">원본 예상시간 40초 → 20초 이내로 재구성</t>
  </si>
  <si>
    <t xml:space="preserve">주문 확정 | 확정 직후 주문 목록에 반영</t>
  </si>
  <si>
    <t xml:space="preserve">주문 확정 | 메모 입력 글자 수 제한(1,000자)</t>
  </si>
  <si>
    <t xml:space="preserve">17</t>
  </si>
  <si>
    <t xml:space="preserve">주문 확정 | 시뮬레이션 이후 마스터 데이터가 바뀌면 확정 거부(충돌)</t>
  </si>
  <si>
    <t xml:space="preserve">18</t>
  </si>
  <si>
    <t xml:space="preserve">원본 예상시간 50초 → 20초 이내로 재구성</t>
  </si>
  <si>
    <t xml:space="preserve">주문 확정 | 확정된 주문 상세에 저장된 계획 표시</t>
  </si>
  <si>
    <t xml:space="preserve">19</t>
  </si>
  <si>
    <t xml:space="preserve">주문 목록 | 목록 화면 기본 구성</t>
  </si>
  <si>
    <t xml:space="preserve">주문 목록 | 주문이 없을 때 빈 목록 문구</t>
  </si>
  <si>
    <t xml:space="preserve">-</t>
  </si>
  <si>
    <t xml:space="preserve">제외</t>
  </si>
  <si>
    <t xml:space="preserve">앱을 새로 띄운 직후(주문 0건)일 때만 성립해 실행 순서와 환경에 의존함. 대신 목록 화면 구성은 통합 20번에서 확인</t>
  </si>
  <si>
    <t xml:space="preserve">주문 목록 | 상태 필터</t>
  </si>
  <si>
    <t xml:space="preserve">21</t>
  </si>
  <si>
    <t xml:space="preserve">주문 목록 | 행 클릭 시 상세로 이동</t>
  </si>
  <si>
    <t xml:space="preserve">주문 목록 | '주문 추가' 버튼으로 이동</t>
  </si>
  <si>
    <t xml:space="preserve">주문 목록 | 건수 집계가 실제 목록과 일치</t>
  </si>
  <si>
    <t xml:space="preserve">주문 상태 | 확정 상태에서 가능한 변경 버튼</t>
  </si>
  <si>
    <t xml:space="preserve">23</t>
  </si>
  <si>
    <t xml:space="preserve">주문 상태 | 진행 → 완료 변경 후 최종 상태</t>
  </si>
  <si>
    <t xml:space="preserve">주문 상태 | 확인창에서 취소하면 상태가 바뀌지 않음</t>
  </si>
  <si>
    <t xml:space="preserve">주문 상태 | 확정 상태에서 취소</t>
  </si>
  <si>
    <t xml:space="preserve">26</t>
  </si>
  <si>
    <t xml:space="preserve">주문 상태 | 진행 상태에서 취소</t>
  </si>
  <si>
    <t xml:space="preserve">원본 예상시간 35초 → 20초 이내로 재구성</t>
  </si>
  <si>
    <t xml:space="preserve">주문 상태 | 완료된 주문은 더 이상 변경 불가</t>
  </si>
  <si>
    <t xml:space="preserve">주문 상태 | 두 탭에서 같은 주문을 변경하면 나중 요청은 충돌</t>
  </si>
  <si>
    <t xml:space="preserve">25</t>
  </si>
  <si>
    <t xml:space="preserve">주문 상태 | 존재하지 않는 주문 상세 접근</t>
  </si>
  <si>
    <t xml:space="preserve">27</t>
  </si>
  <si>
    <t xml:space="preserve">마스터 데이터 | 기본 마스터 데이터 표시</t>
  </si>
  <si>
    <t xml:space="preserve">28</t>
  </si>
  <si>
    <t xml:space="preserve">마스터 데이터 | 값 수정 후 저장</t>
  </si>
  <si>
    <t xml:space="preserve">29</t>
  </si>
  <si>
    <t xml:space="preserve">마스터 데이터 | 빈 값 저장 시 오류 목록 표시·저장 안 됨</t>
  </si>
  <si>
    <t xml:space="preserve">마스터 데이터 | 일부만 틀려도 아무것도 저장하지 않음</t>
  </si>
  <si>
    <t xml:space="preserve">마스터 데이터 | 척당 일 운항비 입력 검증</t>
  </si>
  <si>
    <t xml:space="preserve">31</t>
  </si>
  <si>
    <t xml:space="preserve">마스터 데이터 | 배 척수 범위(1~4)</t>
  </si>
  <si>
    <t xml:space="preserve">32</t>
  </si>
  <si>
    <t xml:space="preserve">마스터 데이터 | 저장한 마스터 값이 이후 시뮬레이션에 반영</t>
  </si>
  <si>
    <t xml:space="preserve">33</t>
  </si>
  <si>
    <t xml:space="preserve">마스터 데이터 | 재고 상한 변경 시 방문 횟수 변경</t>
  </si>
  <si>
    <t xml:space="preserve">마스터 데이터 | 항로 일수 변경 시 소요일 증가</t>
  </si>
  <si>
    <t xml:space="preserve">34</t>
  </si>
  <si>
    <t xml:space="preserve">마스터 데이터 | 마스터 변경은 이미 확정된 주문의 계획을 바꾸지 않음</t>
  </si>
  <si>
    <t xml:space="preserve">35</t>
  </si>
  <si>
    <t xml:space="preserve">TC-E2E-001</t>
  </si>
  <si>
    <t xml:space="preserve">로그인 / 접근 통제 | 로그인 → 주문 목록 → 로그아웃</t>
  </si>
  <si>
    <t xml:space="preserve">1, 3</t>
  </si>
  <si>
    <t xml:space="preserve">분산</t>
  </si>
  <si>
    <t xml:space="preserve">S1</t>
  </si>
  <si>
    <t xml:space="preserve">인증·접근 통제 | 로그인 없이, 로그아웃 후 보호 기능 접근 차단</t>
  </si>
  <si>
    <t xml:space="preserve">S2</t>
  </si>
  <si>
    <t xml:space="preserve">입력 검증 | 수량 0, 음수 요청 거절</t>
  </si>
  <si>
    <t xml:space="preserve">14</t>
  </si>
  <si>
    <t xml:space="preserve">S3</t>
  </si>
  <si>
    <t xml:space="preserve">입력 검증 | 총 수량 상한(100,000K) 초과 입력</t>
  </si>
  <si>
    <t xml:space="preserve">S4</t>
  </si>
  <si>
    <t xml:space="preserve">입력 검증 | 화면 제한을 우회한 메모 1,001자 확정 요청</t>
  </si>
  <si>
    <t xml:space="preserve">S5</t>
  </si>
  <si>
    <t xml:space="preserve">요청 형식 | 깨진 요청 뒤에도 앱이 정상 동작</t>
  </si>
  <si>
    <t xml:space="preserve">36</t>
  </si>
  <si>
    <t xml:space="preserve">S6</t>
  </si>
  <si>
    <t xml:space="preserve">기준값(마스터) | 잘못된 기준값은 모두 안내하고 저장하지 않음</t>
  </si>
  <si>
    <t xml:space="preserve">30, 32</t>
  </si>
  <si>
    <t xml:space="preserve">S7</t>
  </si>
  <si>
    <t xml:space="preserve">기준값(마스터) | 시뮬레이션 뒤 기준값이 바뀌면 확정 거절</t>
  </si>
  <si>
    <t xml:space="preserve">S8</t>
  </si>
  <si>
    <t xml:space="preserve">주문 상태 | 허용되지 않는 상태 변경(확정 → 완료) 거절</t>
  </si>
  <si>
    <t xml:space="preserve">24</t>
  </si>
  <si>
    <t xml:space="preserve">S9</t>
  </si>
  <si>
    <t xml:space="preserve">동시성 | 두 탭에서 같은 주문을 동시에 변경</t>
  </si>
  <si>
    <t xml:space="preserve">S10</t>
  </si>
  <si>
    <t xml:space="preserve">오류 처리 | 존재하지 않는 주문 번호 접근</t>
  </si>
  <si>
    <t xml:space="preserve">원본 합계 72개 → 통합 36개 (제외 1개 포함)</t>
  </si>
  <si>
    <t xml:space="preserve">안내 — 작성 기준과 가정</t>
  </si>
  <si>
    <t xml:space="preserve">통합 원칙</t>
  </si>
  <si>
    <t xml:space="preserve">4명의 시나리오를 모두 읽고, 같은 동작을 확인하는 것은 하나로 합쳤습니다. (예: 로그인 성공은 SangwooSong 1번, KewryByun 3번, ctkim1005 TC-E2E-001 앞부분이 모두 같은 내용)</t>
  </si>
  <si>
    <t xml:space="preserve">시나리오 1건은 예상시간 20초 이내입니다. KewryByun 원본에서 20초를 넘던 시나리오(최대 50초)는 단계를 줄이거나 나눠서 20초 안에 끝나게 다시 구성했습니다.</t>
  </si>
  <si>
    <t xml:space="preserve">Pass 조건의 문구와 응답 코드는 각 작성자가 확인한 값을 그대로 썼습니다. 합치면서 더한 단계(기준값을 원래 값으로 되돌리기 등)는 절차에 적었습니다.</t>
  </si>
  <si>
    <t xml:space="preserve">요약과 건수는 '시나리오' 시트에서 수식으로 계산합니다.</t>
  </si>
  <si>
    <t xml:space="preserve">담당자 배정 원칙</t>
  </si>
  <si>
    <t xml:space="preserve">담당자는 GitHub 아이디입니다: ssw60040-prog (SangwooSong), kewrybyun0119 (KewryByun), ctkim1005, sy9169park (sy9169).</t>
  </si>
  <si>
    <t xml:space="preserve">① 한 사람당 9개로 같게 ② 예상시간 합계를 비슷하게 ③ 영역(로그인, 주문 추가, 확정, 목록, 상태, 기준값 등)이 한쪽으로 쏠리지 않게 나눴습니다.</t>
  </si>
  <si>
    <t xml:space="preserve">본인이 작성한 시나리오와 담당이 달라도 됩니다. 담당자를 바꿀 때는 '시나리오' 시트의 담당자 칸만 바꾸면 요약이 자동으로 바뀝니다.</t>
  </si>
  <si>
    <t xml:space="preserve">주의</t>
  </si>
  <si>
    <t xml:space="preserve">예상시간은 화면 동작을 보고 잡은 추정치이며 실행으로 측정한 값이 아닙니다. Playwright 로 실행한 뒤 갱신하세요.</t>
  </si>
  <si>
    <t xml:space="preserve">주문을 만들거나 기준값을 바꾸는 시나리오는 파일 DB 에 데이터가 남습니다. 기준값을 바꾸는 시나리오는 절차 끝에 원래 값으로 되돌립니다.</t>
  </si>
  <si>
    <t xml:space="preserve">기준값을 바꾸는 시나리오(마스터 데이터 영역, 주문 확정의 '기준값 변경 거절')는 서로 영향을 줄 수 있어 한 번에 하나씩 실행합니다. (playwright.config.ts 는 순차 실행)</t>
  </si>
  <si>
    <t xml:space="preserve">시나리오 26(취소), 27(없는 주문), 36(깨진 요청)은 현재 앱 결함 후보입니다. 지금 실행하면 Fail 이 예상되며, 26번은 PRD §10-1 / INTENT §7-1 의 결정이 필요합니다.</t>
  </si>
  <si>
    <t xml:space="preserve">제외한 시나리오: KewryByun 28번(빈 목록). 주문이 0건인 상태에서만 확인되어 환경과 순서에 의존합니다.</t>
  </si>
  <si>
    <t xml:space="preserve">이미 구현된 테스트와의 대응</t>
  </si>
  <si>
    <t xml:space="preserve">구현된 테스트 코드 (src/test/e2e)</t>
  </si>
  <si>
    <t xml:space="preserve">login.spec.ts · TC-E2E-001 (앞부분)</t>
  </si>
  <si>
    <t xml:space="preserve">login.spec.ts · TC-E2E-001 (뒷부분), robustness.spec.ts · S1</t>
  </si>
  <si>
    <t xml:space="preserve">robustness.spec.ts · S3</t>
  </si>
  <si>
    <t xml:space="preserve">robustness.spec.ts · S2</t>
  </si>
  <si>
    <t xml:space="preserve">robustness.spec.ts · S4 (화면 제한 부분은 미구현)</t>
  </si>
  <si>
    <t xml:space="preserve">robustness.spec.ts · S7</t>
  </si>
  <si>
    <t xml:space="preserve">robustness.spec.ts · S8</t>
  </si>
  <si>
    <t xml:space="preserve">robustness.spec.ts · S9</t>
  </si>
  <si>
    <t xml:space="preserve">robustness.spec.ts · S10</t>
  </si>
  <si>
    <t xml:space="preserve">robustness.spec.ts · S6 (일부)</t>
  </si>
  <si>
    <t xml:space="preserve">robustness.spec.ts · S6 (우회 요청 부분)</t>
  </si>
  <si>
    <t xml:space="preserve">robustness.spec.ts · S5</t>
  </si>
  <si>
    <t xml:space="preserve">코드가 없는 통합 시나리오는 담당자가 새로 구현합니다. 기존 코드는 담당자가 이어받아 통합본의 절차·Pass 조건에 맞게 조정합니다.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</si>
</sst>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초"/>
    <numFmt numFmtId="166" formatCode="0\개"/>
  </numFmts>
  <fonts count="10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맑은 고딕"/>
      <family val="0"/>
      <charset val="1"/>
    </font>
    <font>
      <sz val="9"/>
      <color rgb="FF3A4452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A4452"/>
      </patternFill>
    </fill>
    <fill>
      <patternFill patternType="solid">
        <fgColor rgb="FFEEF2F7"/>
        <bgColor rgb="FFFD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DC6"/>
      </left>
      <right style="thin">
        <color rgb="FFB7BDC6"/>
      </right>
      <top style="thin">
        <color rgb="FFB7BDC6"/>
      </top>
      <bottom style="thin">
        <color rgb="FFB7BD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B42318"/>
      </font>
      <fill>
        <patternFill>
          <bgColor rgb="FFFD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DC6"/>
      <rgbColor rgb="FF808080"/>
      <rgbColor rgb="FF9999FF"/>
      <rgbColor rgb="FF993366"/>
      <rgbColor rgb="FFFDE8E6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42318"/>
      <rgbColor rgb="FF993366"/>
      <rgbColor rgb="FF333399"/>
      <rgbColor rgb="FF3A44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.01"/>
    <col collapsed="false" customWidth="true" hidden="false" outlineLevel="0" max="3" min="3" style="0" width="32.02"/>
    <col collapsed="false" customWidth="true" hidden="false" outlineLevel="0" max="4" min="4" style="0" width="58.04"/>
    <col collapsed="false" customWidth="true" hidden="false" outlineLevel="0" max="5" min="5" style="0" width="34.02"/>
    <col collapsed="false" customWidth="true" hidden="false" outlineLevel="0" max="6" min="6" style="0" width="10.01"/>
    <col collapsed="false" customWidth="true" hidden="false" outlineLevel="0" max="7" min="7" style="0" width="58.04"/>
    <col collapsed="false" customWidth="true" hidden="false" outlineLevel="0" max="8" min="8" style="0" width="18.01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G2" s="3" t="s">
        <v>2</v>
      </c>
      <c r="H2" s="4" t="n">
        <v>20</v>
      </c>
    </row>
    <row r="4" customFormat="false" ht="24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63.75" hidden="false" customHeight="true" outlineLevel="0" collapsed="false">
      <c r="A5" s="6" t="n">
        <v>1</v>
      </c>
      <c r="B5" s="7" t="s">
        <v>11</v>
      </c>
      <c r="C5" s="8" t="s">
        <v>12</v>
      </c>
      <c r="D5" s="8" t="s">
        <v>13</v>
      </c>
      <c r="E5" s="8" t="s">
        <v>14</v>
      </c>
      <c r="F5" s="9" t="n">
        <v>8</v>
      </c>
      <c r="G5" s="8" t="s">
        <v>15</v>
      </c>
      <c r="H5" s="10" t="s">
        <v>16</v>
      </c>
    </row>
    <row r="6" customFormat="false" ht="63.75" hidden="false" customHeight="true" outlineLevel="0" collapsed="false">
      <c r="A6" s="6" t="n">
        <v>2</v>
      </c>
      <c r="B6" s="7" t="s">
        <v>11</v>
      </c>
      <c r="C6" s="8" t="s">
        <v>17</v>
      </c>
      <c r="D6" s="8" t="s">
        <v>18</v>
      </c>
      <c r="E6" s="8" t="s">
        <v>19</v>
      </c>
      <c r="F6" s="9" t="n">
        <v>10</v>
      </c>
      <c r="G6" s="8" t="s">
        <v>20</v>
      </c>
      <c r="H6" s="10" t="s">
        <v>21</v>
      </c>
    </row>
    <row r="7" customFormat="false" ht="78" hidden="false" customHeight="true" outlineLevel="0" collapsed="false">
      <c r="A7" s="6" t="n">
        <v>3</v>
      </c>
      <c r="B7" s="7" t="s">
        <v>22</v>
      </c>
      <c r="C7" s="8" t="s">
        <v>23</v>
      </c>
      <c r="D7" s="8" t="s">
        <v>24</v>
      </c>
      <c r="E7" s="8" t="s">
        <v>25</v>
      </c>
      <c r="F7" s="9" t="n">
        <v>10</v>
      </c>
      <c r="G7" s="8" t="s">
        <v>26</v>
      </c>
      <c r="H7" s="10" t="s">
        <v>27</v>
      </c>
    </row>
    <row r="8" customFormat="false" ht="49.5" hidden="false" customHeight="true" outlineLevel="0" collapsed="false">
      <c r="A8" s="6" t="n">
        <v>4</v>
      </c>
      <c r="B8" s="7" t="s">
        <v>11</v>
      </c>
      <c r="C8" s="8" t="s">
        <v>28</v>
      </c>
      <c r="D8" s="8" t="s">
        <v>29</v>
      </c>
      <c r="E8" s="8" t="s">
        <v>30</v>
      </c>
      <c r="F8" s="9" t="n">
        <v>8</v>
      </c>
      <c r="G8" s="8" t="s">
        <v>31</v>
      </c>
      <c r="H8" s="10" t="s">
        <v>32</v>
      </c>
    </row>
    <row r="9" customFormat="false" ht="78" hidden="false" customHeight="true" outlineLevel="0" collapsed="false">
      <c r="A9" s="6" t="n">
        <v>5</v>
      </c>
      <c r="B9" s="7" t="s">
        <v>33</v>
      </c>
      <c r="C9" s="8" t="s">
        <v>34</v>
      </c>
      <c r="D9" s="8" t="s">
        <v>35</v>
      </c>
      <c r="E9" s="8" t="s">
        <v>36</v>
      </c>
      <c r="F9" s="9" t="n">
        <v>15</v>
      </c>
      <c r="G9" s="8" t="s">
        <v>37</v>
      </c>
      <c r="H9" s="10" t="s">
        <v>16</v>
      </c>
    </row>
    <row r="10" customFormat="false" ht="93" hidden="false" customHeight="true" outlineLevel="0" collapsed="false">
      <c r="A10" s="6" t="n">
        <v>6</v>
      </c>
      <c r="B10" s="7" t="s">
        <v>38</v>
      </c>
      <c r="C10" s="8" t="s">
        <v>39</v>
      </c>
      <c r="D10" s="8" t="s">
        <v>40</v>
      </c>
      <c r="E10" s="8" t="s">
        <v>41</v>
      </c>
      <c r="F10" s="9" t="n">
        <v>15</v>
      </c>
      <c r="G10" s="8" t="s">
        <v>42</v>
      </c>
      <c r="H10" s="10" t="s">
        <v>27</v>
      </c>
    </row>
    <row r="11" customFormat="false" ht="93" hidden="false" customHeight="true" outlineLevel="0" collapsed="false">
      <c r="A11" s="6" t="n">
        <v>7</v>
      </c>
      <c r="B11" s="7" t="s">
        <v>38</v>
      </c>
      <c r="C11" s="8" t="s">
        <v>43</v>
      </c>
      <c r="D11" s="8" t="s">
        <v>44</v>
      </c>
      <c r="E11" s="8" t="s">
        <v>45</v>
      </c>
      <c r="F11" s="9" t="n">
        <v>15</v>
      </c>
      <c r="G11" s="8" t="s">
        <v>46</v>
      </c>
      <c r="H11" s="10" t="s">
        <v>21</v>
      </c>
    </row>
    <row r="12" customFormat="false" ht="63.75" hidden="false" customHeight="true" outlineLevel="0" collapsed="false">
      <c r="A12" s="6" t="n">
        <v>8</v>
      </c>
      <c r="B12" s="7" t="s">
        <v>38</v>
      </c>
      <c r="C12" s="8" t="s">
        <v>47</v>
      </c>
      <c r="D12" s="8" t="s">
        <v>48</v>
      </c>
      <c r="E12" s="8" t="s">
        <v>49</v>
      </c>
      <c r="F12" s="9" t="n">
        <v>12</v>
      </c>
      <c r="G12" s="8" t="s">
        <v>50</v>
      </c>
      <c r="H12" s="10" t="s">
        <v>16</v>
      </c>
    </row>
    <row r="13" customFormat="false" ht="49.5" hidden="false" customHeight="true" outlineLevel="0" collapsed="false">
      <c r="A13" s="6" t="n">
        <v>9</v>
      </c>
      <c r="B13" s="7" t="s">
        <v>38</v>
      </c>
      <c r="C13" s="8" t="s">
        <v>51</v>
      </c>
      <c r="D13" s="8" t="s">
        <v>52</v>
      </c>
      <c r="E13" s="8" t="s">
        <v>53</v>
      </c>
      <c r="F13" s="9" t="n">
        <v>12</v>
      </c>
      <c r="G13" s="8" t="s">
        <v>54</v>
      </c>
      <c r="H13" s="10" t="s">
        <v>32</v>
      </c>
    </row>
    <row r="14" customFormat="false" ht="49.5" hidden="false" customHeight="true" outlineLevel="0" collapsed="false">
      <c r="A14" s="6" t="n">
        <v>10</v>
      </c>
      <c r="B14" s="7" t="s">
        <v>38</v>
      </c>
      <c r="C14" s="8" t="s">
        <v>55</v>
      </c>
      <c r="D14" s="8" t="s">
        <v>56</v>
      </c>
      <c r="E14" s="8" t="s">
        <v>57</v>
      </c>
      <c r="F14" s="9" t="n">
        <v>12</v>
      </c>
      <c r="G14" s="8" t="s">
        <v>58</v>
      </c>
      <c r="H14" s="10" t="s">
        <v>27</v>
      </c>
    </row>
    <row r="15" customFormat="false" ht="49.5" hidden="false" customHeight="true" outlineLevel="0" collapsed="false">
      <c r="A15" s="6" t="n">
        <v>11</v>
      </c>
      <c r="B15" s="7" t="s">
        <v>38</v>
      </c>
      <c r="C15" s="8" t="s">
        <v>59</v>
      </c>
      <c r="D15" s="8" t="s">
        <v>60</v>
      </c>
      <c r="E15" s="8" t="s">
        <v>61</v>
      </c>
      <c r="F15" s="9" t="n">
        <v>12</v>
      </c>
      <c r="G15" s="8" t="s">
        <v>62</v>
      </c>
      <c r="H15" s="10" t="s">
        <v>21</v>
      </c>
    </row>
    <row r="16" customFormat="false" ht="63.75" hidden="false" customHeight="true" outlineLevel="0" collapsed="false">
      <c r="A16" s="6" t="n">
        <v>12</v>
      </c>
      <c r="B16" s="7" t="s">
        <v>38</v>
      </c>
      <c r="C16" s="8" t="s">
        <v>63</v>
      </c>
      <c r="D16" s="8" t="s">
        <v>64</v>
      </c>
      <c r="E16" s="8" t="s">
        <v>65</v>
      </c>
      <c r="F16" s="9" t="n">
        <v>12</v>
      </c>
      <c r="G16" s="8" t="s">
        <v>66</v>
      </c>
      <c r="H16" s="10" t="s">
        <v>16</v>
      </c>
    </row>
    <row r="17" customFormat="false" ht="78" hidden="false" customHeight="true" outlineLevel="0" collapsed="false">
      <c r="A17" s="6" t="n">
        <v>13</v>
      </c>
      <c r="B17" s="7" t="s">
        <v>38</v>
      </c>
      <c r="C17" s="8" t="s">
        <v>67</v>
      </c>
      <c r="D17" s="8" t="s">
        <v>68</v>
      </c>
      <c r="E17" s="8" t="s">
        <v>69</v>
      </c>
      <c r="F17" s="9" t="n">
        <v>12</v>
      </c>
      <c r="G17" s="8" t="s">
        <v>70</v>
      </c>
      <c r="H17" s="10" t="s">
        <v>32</v>
      </c>
    </row>
    <row r="18" customFormat="false" ht="49.5" hidden="false" customHeight="true" outlineLevel="0" collapsed="false">
      <c r="A18" s="6" t="n">
        <v>14</v>
      </c>
      <c r="B18" s="7" t="s">
        <v>71</v>
      </c>
      <c r="C18" s="8" t="s">
        <v>72</v>
      </c>
      <c r="D18" s="8" t="s">
        <v>73</v>
      </c>
      <c r="E18" s="8" t="s">
        <v>74</v>
      </c>
      <c r="F18" s="9" t="n">
        <v>8</v>
      </c>
      <c r="G18" s="8" t="s">
        <v>75</v>
      </c>
      <c r="H18" s="10" t="s">
        <v>21</v>
      </c>
    </row>
    <row r="19" customFormat="false" ht="78" hidden="false" customHeight="true" outlineLevel="0" collapsed="false">
      <c r="A19" s="6" t="n">
        <v>15</v>
      </c>
      <c r="B19" s="7" t="s">
        <v>76</v>
      </c>
      <c r="C19" s="8" t="s">
        <v>77</v>
      </c>
      <c r="D19" s="8" t="s">
        <v>78</v>
      </c>
      <c r="E19" s="8" t="s">
        <v>79</v>
      </c>
      <c r="F19" s="9" t="n">
        <v>18</v>
      </c>
      <c r="G19" s="8" t="s">
        <v>80</v>
      </c>
      <c r="H19" s="10" t="s">
        <v>27</v>
      </c>
    </row>
    <row r="20" customFormat="false" ht="78" hidden="false" customHeight="true" outlineLevel="0" collapsed="false">
      <c r="A20" s="6" t="n">
        <v>16</v>
      </c>
      <c r="B20" s="7" t="s">
        <v>76</v>
      </c>
      <c r="C20" s="8" t="s">
        <v>81</v>
      </c>
      <c r="D20" s="8" t="s">
        <v>82</v>
      </c>
      <c r="E20" s="8" t="s">
        <v>83</v>
      </c>
      <c r="F20" s="9" t="n">
        <v>18</v>
      </c>
      <c r="G20" s="8" t="s">
        <v>84</v>
      </c>
      <c r="H20" s="10" t="s">
        <v>21</v>
      </c>
    </row>
    <row r="21" customFormat="false" ht="78" hidden="false" customHeight="true" outlineLevel="0" collapsed="false">
      <c r="A21" s="6" t="n">
        <v>17</v>
      </c>
      <c r="B21" s="7" t="s">
        <v>76</v>
      </c>
      <c r="C21" s="8" t="s">
        <v>85</v>
      </c>
      <c r="D21" s="8" t="s">
        <v>86</v>
      </c>
      <c r="E21" s="8" t="s">
        <v>87</v>
      </c>
      <c r="F21" s="9" t="n">
        <v>12</v>
      </c>
      <c r="G21" s="8" t="s">
        <v>88</v>
      </c>
      <c r="H21" s="10" t="s">
        <v>27</v>
      </c>
    </row>
    <row r="22" customFormat="false" ht="107.25" hidden="false" customHeight="true" outlineLevel="0" collapsed="false">
      <c r="A22" s="6" t="n">
        <v>18</v>
      </c>
      <c r="B22" s="7" t="s">
        <v>76</v>
      </c>
      <c r="C22" s="8" t="s">
        <v>89</v>
      </c>
      <c r="D22" s="8" t="s">
        <v>90</v>
      </c>
      <c r="E22" s="8" t="s">
        <v>91</v>
      </c>
      <c r="F22" s="9" t="n">
        <v>16</v>
      </c>
      <c r="G22" s="8" t="s">
        <v>92</v>
      </c>
      <c r="H22" s="10" t="s">
        <v>16</v>
      </c>
    </row>
    <row r="23" customFormat="false" ht="49.5" hidden="false" customHeight="true" outlineLevel="0" collapsed="false">
      <c r="A23" s="6" t="n">
        <v>19</v>
      </c>
      <c r="B23" s="7" t="s">
        <v>76</v>
      </c>
      <c r="C23" s="8" t="s">
        <v>93</v>
      </c>
      <c r="D23" s="8" t="s">
        <v>94</v>
      </c>
      <c r="E23" s="8" t="s">
        <v>95</v>
      </c>
      <c r="F23" s="9" t="n">
        <v>15</v>
      </c>
      <c r="G23" s="8" t="s">
        <v>96</v>
      </c>
      <c r="H23" s="10" t="s">
        <v>32</v>
      </c>
    </row>
    <row r="24" customFormat="false" ht="93" hidden="false" customHeight="true" outlineLevel="0" collapsed="false">
      <c r="A24" s="6" t="n">
        <v>20</v>
      </c>
      <c r="B24" s="7" t="s">
        <v>97</v>
      </c>
      <c r="C24" s="8" t="s">
        <v>98</v>
      </c>
      <c r="D24" s="8" t="s">
        <v>99</v>
      </c>
      <c r="E24" s="8" t="s">
        <v>100</v>
      </c>
      <c r="F24" s="9" t="n">
        <v>15</v>
      </c>
      <c r="G24" s="8" t="s">
        <v>101</v>
      </c>
      <c r="H24" s="10" t="s">
        <v>16</v>
      </c>
    </row>
    <row r="25" customFormat="false" ht="78" hidden="false" customHeight="true" outlineLevel="0" collapsed="false">
      <c r="A25" s="6" t="n">
        <v>21</v>
      </c>
      <c r="B25" s="7" t="s">
        <v>97</v>
      </c>
      <c r="C25" s="8" t="s">
        <v>102</v>
      </c>
      <c r="D25" s="8" t="s">
        <v>103</v>
      </c>
      <c r="E25" s="8" t="s">
        <v>104</v>
      </c>
      <c r="F25" s="9" t="n">
        <v>20</v>
      </c>
      <c r="G25" s="8" t="s">
        <v>105</v>
      </c>
      <c r="H25" s="10" t="s">
        <v>32</v>
      </c>
    </row>
    <row r="26" customFormat="false" ht="107.25" hidden="false" customHeight="true" outlineLevel="0" collapsed="false">
      <c r="A26" s="6" t="n">
        <v>22</v>
      </c>
      <c r="B26" s="7" t="s">
        <v>106</v>
      </c>
      <c r="C26" s="8" t="s">
        <v>107</v>
      </c>
      <c r="D26" s="8" t="s">
        <v>108</v>
      </c>
      <c r="E26" s="8" t="s">
        <v>109</v>
      </c>
      <c r="F26" s="9" t="n">
        <v>20</v>
      </c>
      <c r="G26" s="8" t="s">
        <v>110</v>
      </c>
      <c r="H26" s="10" t="s">
        <v>16</v>
      </c>
    </row>
    <row r="27" customFormat="false" ht="49.5" hidden="false" customHeight="true" outlineLevel="0" collapsed="false">
      <c r="A27" s="6" t="n">
        <v>23</v>
      </c>
      <c r="B27" s="7" t="s">
        <v>106</v>
      </c>
      <c r="C27" s="8" t="s">
        <v>111</v>
      </c>
      <c r="D27" s="8" t="s">
        <v>112</v>
      </c>
      <c r="E27" s="8" t="s">
        <v>113</v>
      </c>
      <c r="F27" s="9" t="n">
        <v>12</v>
      </c>
      <c r="G27" s="8" t="s">
        <v>114</v>
      </c>
      <c r="H27" s="10" t="s">
        <v>21</v>
      </c>
    </row>
    <row r="28" customFormat="false" ht="78" hidden="false" customHeight="true" outlineLevel="0" collapsed="false">
      <c r="A28" s="6" t="n">
        <v>24</v>
      </c>
      <c r="B28" s="7" t="s">
        <v>106</v>
      </c>
      <c r="C28" s="8" t="s">
        <v>115</v>
      </c>
      <c r="D28" s="8" t="s">
        <v>116</v>
      </c>
      <c r="E28" s="8" t="s">
        <v>117</v>
      </c>
      <c r="F28" s="9" t="n">
        <v>18</v>
      </c>
      <c r="G28" s="8" t="s">
        <v>118</v>
      </c>
      <c r="H28" s="10" t="s">
        <v>32</v>
      </c>
    </row>
    <row r="29" customFormat="false" ht="63.75" hidden="false" customHeight="true" outlineLevel="0" collapsed="false">
      <c r="A29" s="6" t="n">
        <v>25</v>
      </c>
      <c r="B29" s="7" t="s">
        <v>106</v>
      </c>
      <c r="C29" s="8" t="s">
        <v>119</v>
      </c>
      <c r="D29" s="8" t="s">
        <v>120</v>
      </c>
      <c r="E29" s="8" t="s">
        <v>121</v>
      </c>
      <c r="F29" s="9" t="n">
        <v>19</v>
      </c>
      <c r="G29" s="8" t="s">
        <v>122</v>
      </c>
      <c r="H29" s="10" t="s">
        <v>21</v>
      </c>
    </row>
    <row r="30" customFormat="false" ht="78" hidden="false" customHeight="true" outlineLevel="0" collapsed="false">
      <c r="A30" s="6" t="n">
        <v>26</v>
      </c>
      <c r="B30" s="7" t="s">
        <v>106</v>
      </c>
      <c r="C30" s="8" t="s">
        <v>123</v>
      </c>
      <c r="D30" s="8" t="s">
        <v>124</v>
      </c>
      <c r="E30" s="8" t="s">
        <v>125</v>
      </c>
      <c r="F30" s="9" t="n">
        <v>20</v>
      </c>
      <c r="G30" s="8" t="s">
        <v>126</v>
      </c>
      <c r="H30" s="10" t="s">
        <v>27</v>
      </c>
    </row>
    <row r="31" customFormat="false" ht="63.75" hidden="false" customHeight="true" outlineLevel="0" collapsed="false">
      <c r="A31" s="6" t="n">
        <v>27</v>
      </c>
      <c r="B31" s="7" t="s">
        <v>106</v>
      </c>
      <c r="C31" s="8" t="s">
        <v>127</v>
      </c>
      <c r="D31" s="8" t="s">
        <v>128</v>
      </c>
      <c r="E31" s="8" t="s">
        <v>129</v>
      </c>
      <c r="F31" s="9" t="n">
        <v>6</v>
      </c>
      <c r="G31" s="8" t="s">
        <v>130</v>
      </c>
      <c r="H31" s="10" t="s">
        <v>27</v>
      </c>
    </row>
    <row r="32" customFormat="false" ht="78" hidden="false" customHeight="true" outlineLevel="0" collapsed="false">
      <c r="A32" s="6" t="n">
        <v>28</v>
      </c>
      <c r="B32" s="7" t="s">
        <v>131</v>
      </c>
      <c r="C32" s="8" t="s">
        <v>132</v>
      </c>
      <c r="D32" s="8" t="s">
        <v>133</v>
      </c>
      <c r="E32" s="8" t="s">
        <v>134</v>
      </c>
      <c r="F32" s="9" t="n">
        <v>10</v>
      </c>
      <c r="G32" s="8" t="s">
        <v>135</v>
      </c>
      <c r="H32" s="10" t="s">
        <v>16</v>
      </c>
    </row>
    <row r="33" customFormat="false" ht="78" hidden="false" customHeight="true" outlineLevel="0" collapsed="false">
      <c r="A33" s="6" t="n">
        <v>29</v>
      </c>
      <c r="B33" s="7" t="s">
        <v>131</v>
      </c>
      <c r="C33" s="8" t="s">
        <v>136</v>
      </c>
      <c r="D33" s="8" t="s">
        <v>137</v>
      </c>
      <c r="E33" s="8" t="s">
        <v>138</v>
      </c>
      <c r="F33" s="9" t="n">
        <v>15</v>
      </c>
      <c r="G33" s="8" t="s">
        <v>139</v>
      </c>
      <c r="H33" s="10" t="s">
        <v>27</v>
      </c>
    </row>
    <row r="34" customFormat="false" ht="93" hidden="false" customHeight="true" outlineLevel="0" collapsed="false">
      <c r="A34" s="6" t="n">
        <v>30</v>
      </c>
      <c r="B34" s="7" t="s">
        <v>131</v>
      </c>
      <c r="C34" s="8" t="s">
        <v>140</v>
      </c>
      <c r="D34" s="8" t="s">
        <v>141</v>
      </c>
      <c r="E34" s="8" t="s">
        <v>142</v>
      </c>
      <c r="F34" s="9" t="n">
        <v>14</v>
      </c>
      <c r="G34" s="8" t="s">
        <v>143</v>
      </c>
      <c r="H34" s="10" t="s">
        <v>21</v>
      </c>
    </row>
    <row r="35" customFormat="false" ht="93" hidden="false" customHeight="true" outlineLevel="0" collapsed="false">
      <c r="A35" s="6" t="n">
        <v>31</v>
      </c>
      <c r="B35" s="7" t="s">
        <v>131</v>
      </c>
      <c r="C35" s="8" t="s">
        <v>144</v>
      </c>
      <c r="D35" s="8" t="s">
        <v>145</v>
      </c>
      <c r="E35" s="8" t="s">
        <v>146</v>
      </c>
      <c r="F35" s="9" t="n">
        <v>20</v>
      </c>
      <c r="G35" s="8" t="s">
        <v>147</v>
      </c>
      <c r="H35" s="10" t="s">
        <v>21</v>
      </c>
    </row>
    <row r="36" customFormat="false" ht="78" hidden="false" customHeight="true" outlineLevel="0" collapsed="false">
      <c r="A36" s="6" t="n">
        <v>32</v>
      </c>
      <c r="B36" s="7" t="s">
        <v>131</v>
      </c>
      <c r="C36" s="8" t="s">
        <v>148</v>
      </c>
      <c r="D36" s="8" t="s">
        <v>149</v>
      </c>
      <c r="E36" s="8" t="s">
        <v>150</v>
      </c>
      <c r="F36" s="9" t="n">
        <v>14</v>
      </c>
      <c r="G36" s="8" t="s">
        <v>151</v>
      </c>
      <c r="H36" s="10" t="s">
        <v>32</v>
      </c>
    </row>
    <row r="37" customFormat="false" ht="78" hidden="false" customHeight="true" outlineLevel="0" collapsed="false">
      <c r="A37" s="6" t="n">
        <v>33</v>
      </c>
      <c r="B37" s="7" t="s">
        <v>131</v>
      </c>
      <c r="C37" s="8" t="s">
        <v>152</v>
      </c>
      <c r="D37" s="8" t="s">
        <v>153</v>
      </c>
      <c r="E37" s="8" t="s">
        <v>154</v>
      </c>
      <c r="F37" s="9" t="n">
        <v>20</v>
      </c>
      <c r="G37" s="8" t="s">
        <v>155</v>
      </c>
      <c r="H37" s="10" t="s">
        <v>32</v>
      </c>
    </row>
    <row r="38" customFormat="false" ht="63.75" hidden="false" customHeight="true" outlineLevel="0" collapsed="false">
      <c r="A38" s="6" t="n">
        <v>34</v>
      </c>
      <c r="B38" s="7" t="s">
        <v>131</v>
      </c>
      <c r="C38" s="8" t="s">
        <v>156</v>
      </c>
      <c r="D38" s="8" t="s">
        <v>157</v>
      </c>
      <c r="E38" s="8" t="s">
        <v>158</v>
      </c>
      <c r="F38" s="9" t="n">
        <v>18</v>
      </c>
      <c r="G38" s="8" t="s">
        <v>159</v>
      </c>
      <c r="H38" s="10" t="s">
        <v>27</v>
      </c>
    </row>
    <row r="39" customFormat="false" ht="78" hidden="false" customHeight="true" outlineLevel="0" collapsed="false">
      <c r="A39" s="6" t="n">
        <v>35</v>
      </c>
      <c r="B39" s="7" t="s">
        <v>131</v>
      </c>
      <c r="C39" s="8" t="s">
        <v>160</v>
      </c>
      <c r="D39" s="8" t="s">
        <v>161</v>
      </c>
      <c r="E39" s="8" t="s">
        <v>162</v>
      </c>
      <c r="F39" s="9" t="n">
        <v>20</v>
      </c>
      <c r="G39" s="8" t="s">
        <v>163</v>
      </c>
      <c r="H39" s="10" t="s">
        <v>16</v>
      </c>
    </row>
    <row r="40" customFormat="false" ht="63.75" hidden="false" customHeight="true" outlineLevel="0" collapsed="false">
      <c r="A40" s="6" t="n">
        <v>36</v>
      </c>
      <c r="B40" s="7" t="s">
        <v>164</v>
      </c>
      <c r="C40" s="8" t="s">
        <v>165</v>
      </c>
      <c r="D40" s="8" t="s">
        <v>166</v>
      </c>
      <c r="E40" s="8" t="s">
        <v>167</v>
      </c>
      <c r="F40" s="9" t="n">
        <v>7</v>
      </c>
      <c r="G40" s="8" t="s">
        <v>168</v>
      </c>
      <c r="H40" s="10" t="s">
        <v>32</v>
      </c>
    </row>
  </sheetData>
  <conditionalFormatting sqref="F5:F40">
    <cfRule type="cellIs" priority="2" operator="greaterThan" aboveAverage="0" equalAverage="0" bottom="0" percent="0" rank="0" text="" dxfId="0">
      <formula>$H$2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14.02"/>
    <col collapsed="false" customWidth="true" hidden="false" outlineLevel="0" max="4" min="3" style="0" width="16.01"/>
    <col collapsed="false" customWidth="true" hidden="false" outlineLevel="0" max="5" min="5" style="0" width="18.01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24" hidden="false" customHeight="true" outlineLevel="0" collapsed="false">
      <c r="A4" s="5" t="s">
        <v>171</v>
      </c>
      <c r="B4" s="5" t="s">
        <v>172</v>
      </c>
      <c r="C4" s="5" t="s">
        <v>173</v>
      </c>
      <c r="D4" s="5" t="s">
        <v>174</v>
      </c>
      <c r="E4" s="5" t="s">
        <v>175</v>
      </c>
    </row>
    <row r="5" customFormat="false" ht="15" hidden="false" customHeight="false" outlineLevel="0" collapsed="false">
      <c r="A5" s="11" t="s">
        <v>32</v>
      </c>
      <c r="B5" s="12" t="n">
        <f aca="false">COUNTIF(시나리오!$H$5:$H$40,A5)</f>
        <v>9</v>
      </c>
      <c r="C5" s="13" t="n">
        <f aca="false">SUMIF(시나리오!$H$5:$H$40,A5,시나리오!$F$5:$F$40)</f>
        <v>126</v>
      </c>
      <c r="D5" s="13" t="n">
        <f aca="false">SUMPRODUCT(MAX((시나리오!$H$5:$H$40=A5)*시나리오!$F$5:$F$40))</f>
        <v>20</v>
      </c>
      <c r="E5" s="12" t="n">
        <f aca="false">COUNTIFS(시나리오!$H$5:$H$40,A5,시나리오!$F$5:$F$40,"&gt;"&amp;시나리오!$H$2)</f>
        <v>0</v>
      </c>
    </row>
    <row r="6" customFormat="false" ht="15" hidden="false" customHeight="false" outlineLevel="0" collapsed="false">
      <c r="A6" s="11" t="s">
        <v>16</v>
      </c>
      <c r="B6" s="12" t="n">
        <f aca="false">COUNTIF(시나리오!$H$5:$H$40,A6)</f>
        <v>9</v>
      </c>
      <c r="C6" s="13" t="n">
        <f aca="false">SUMIF(시나리오!$H$5:$H$40,A6,시나리오!$F$5:$F$40)</f>
        <v>128</v>
      </c>
      <c r="D6" s="13" t="n">
        <f aca="false">SUMPRODUCT(MAX((시나리오!$H$5:$H$40=A6)*시나리오!$F$5:$F$40))</f>
        <v>20</v>
      </c>
      <c r="E6" s="12" t="n">
        <f aca="false">COUNTIFS(시나리오!$H$5:$H$40,A6,시나리오!$F$5:$F$40,"&gt;"&amp;시나리오!$H$2)</f>
        <v>0</v>
      </c>
    </row>
    <row r="7" customFormat="false" ht="15" hidden="false" customHeight="false" outlineLevel="0" collapsed="false">
      <c r="A7" s="11" t="s">
        <v>27</v>
      </c>
      <c r="B7" s="12" t="n">
        <f aca="false">COUNTIF(시나리오!$H$5:$H$40,A7)</f>
        <v>9</v>
      </c>
      <c r="C7" s="13" t="n">
        <f aca="false">SUMIF(시나리오!$H$5:$H$40,A7,시나리오!$F$5:$F$40)</f>
        <v>126</v>
      </c>
      <c r="D7" s="13" t="n">
        <f aca="false">SUMPRODUCT(MAX((시나리오!$H$5:$H$40=A7)*시나리오!$F$5:$F$40))</f>
        <v>20</v>
      </c>
      <c r="E7" s="12" t="n">
        <f aca="false">COUNTIFS(시나리오!$H$5:$H$40,A7,시나리오!$F$5:$F$40,"&gt;"&amp;시나리오!$H$2)</f>
        <v>0</v>
      </c>
    </row>
    <row r="8" customFormat="false" ht="15" hidden="false" customHeight="false" outlineLevel="0" collapsed="false">
      <c r="A8" s="11" t="s">
        <v>21</v>
      </c>
      <c r="B8" s="12" t="n">
        <f aca="false">COUNTIF(시나리오!$H$5:$H$40,A8)</f>
        <v>9</v>
      </c>
      <c r="C8" s="13" t="n">
        <f aca="false">SUMIF(시나리오!$H$5:$H$40,A8,시나리오!$F$5:$F$40)</f>
        <v>128</v>
      </c>
      <c r="D8" s="13" t="n">
        <f aca="false">SUMPRODUCT(MAX((시나리오!$H$5:$H$40=A8)*시나리오!$F$5:$F$40))</f>
        <v>20</v>
      </c>
      <c r="E8" s="12" t="n">
        <f aca="false">COUNTIFS(시나리오!$H$5:$H$40,A8,시나리오!$F$5:$F$40,"&gt;"&amp;시나리오!$H$2)</f>
        <v>0</v>
      </c>
    </row>
    <row r="9" customFormat="false" ht="15" hidden="false" customHeight="false" outlineLevel="0" collapsed="false">
      <c r="A9" s="14" t="s">
        <v>176</v>
      </c>
      <c r="B9" s="15" t="n">
        <f aca="false">SUM(B5:B8)</f>
        <v>36</v>
      </c>
      <c r="C9" s="16" t="n">
        <f aca="false">SUM(C5:C8)</f>
        <v>508</v>
      </c>
      <c r="D9" s="16" t="n">
        <f aca="false">MAX(D5:D8)</f>
        <v>20</v>
      </c>
      <c r="E9" s="15" t="n">
        <f aca="false">SUM(E5:E8)</f>
        <v>0</v>
      </c>
    </row>
    <row r="11" customFormat="false" ht="15" hidden="false" customHeight="false" outlineLevel="0" collapsed="false">
      <c r="A11" s="17" t="s">
        <v>177</v>
      </c>
      <c r="B11" s="18" t="n">
        <f aca="false">COUNTA(시나리오!$A$5:$A$40)</f>
        <v>36</v>
      </c>
    </row>
    <row r="12" customFormat="false" ht="15" hidden="false" customHeight="false" outlineLevel="0" collapsed="false">
      <c r="A12" s="17" t="s">
        <v>178</v>
      </c>
      <c r="B12" s="18" t="n">
        <f aca="false">COUNTBLANK(시나리오!$H$5:$H$40)</f>
        <v>0</v>
      </c>
    </row>
    <row r="13" customFormat="false" ht="15" hidden="false" customHeight="false" outlineLevel="0" collapsed="false">
      <c r="A13" s="17" t="s">
        <v>179</v>
      </c>
      <c r="B13" s="18" t="n">
        <f aca="false">MAX(B5:B8)-MIN(B5:B8)</f>
        <v>0</v>
      </c>
    </row>
    <row r="14" customFormat="false" ht="15" hidden="false" customHeight="false" outlineLevel="0" collapsed="false">
      <c r="A14" s="17" t="s">
        <v>180</v>
      </c>
      <c r="B14" s="19" t="n">
        <f aca="false">MAX(C5:C8)-MIN(C5:C8)</f>
        <v>2</v>
      </c>
    </row>
    <row r="15" customFormat="false" ht="15" hidden="false" customHeight="false" outlineLevel="0" collapsed="false">
      <c r="A15" s="17" t="s">
        <v>181</v>
      </c>
      <c r="B15" s="19" t="n">
        <f aca="false">시나리오!$H$2</f>
        <v>20</v>
      </c>
    </row>
    <row r="16" customFormat="false" ht="15" hidden="false" customHeight="false" outlineLevel="0" collapsed="false">
      <c r="A16" s="17" t="s">
        <v>182</v>
      </c>
      <c r="B16" s="20" t="str">
        <f aca="false">IF(E9=0,"충족 (모두 기준 이내)","초과 "&amp;E9&amp;"건")</f>
        <v>충족 (모두 기준 이내)</v>
      </c>
    </row>
    <row r="18" customFormat="false" ht="15" hidden="false" customHeight="false" outlineLevel="0" collapsed="false">
      <c r="A18" s="21" t="s">
        <v>183</v>
      </c>
    </row>
    <row r="19" customFormat="false" ht="24" hidden="false" customHeight="true" outlineLevel="0" collapsed="false">
      <c r="A19" s="5" t="s">
        <v>4</v>
      </c>
      <c r="B19" s="5" t="s">
        <v>172</v>
      </c>
      <c r="C19" s="5" t="s">
        <v>173</v>
      </c>
      <c r="D19" s="5"/>
      <c r="E19" s="5"/>
    </row>
    <row r="20" customFormat="false" ht="15" hidden="false" customHeight="false" outlineLevel="0" collapsed="false">
      <c r="A20" s="22" t="s">
        <v>11</v>
      </c>
      <c r="B20" s="12" t="n">
        <f aca="false">COUNTIF(시나리오!$B$5:$B$40,A20)</f>
        <v>3</v>
      </c>
      <c r="C20" s="13" t="n">
        <f aca="false">SUMIF(시나리오!$B$5:$B$40,A20,시나리오!$F$5:$F$40)</f>
        <v>26</v>
      </c>
    </row>
    <row r="21" customFormat="false" ht="15" hidden="false" customHeight="false" outlineLevel="0" collapsed="false">
      <c r="A21" s="22" t="s">
        <v>22</v>
      </c>
      <c r="B21" s="12" t="n">
        <f aca="false">COUNTIF(시나리오!$B$5:$B$40,A21)</f>
        <v>1</v>
      </c>
      <c r="C21" s="13" t="n">
        <f aca="false">SUMIF(시나리오!$B$5:$B$40,A21,시나리오!$F$5:$F$40)</f>
        <v>10</v>
      </c>
    </row>
    <row r="22" customFormat="false" ht="15" hidden="false" customHeight="false" outlineLevel="0" collapsed="false">
      <c r="A22" s="22" t="s">
        <v>33</v>
      </c>
      <c r="B22" s="12" t="n">
        <f aca="false">COUNTIF(시나리오!$B$5:$B$40,A22)</f>
        <v>1</v>
      </c>
      <c r="C22" s="13" t="n">
        <f aca="false">SUMIF(시나리오!$B$5:$B$40,A22,시나리오!$F$5:$F$40)</f>
        <v>15</v>
      </c>
    </row>
    <row r="23" customFormat="false" ht="15" hidden="false" customHeight="false" outlineLevel="0" collapsed="false">
      <c r="A23" s="22" t="s">
        <v>38</v>
      </c>
      <c r="B23" s="12" t="n">
        <f aca="false">COUNTIF(시나리오!$B$5:$B$40,A23)</f>
        <v>8</v>
      </c>
      <c r="C23" s="13" t="n">
        <f aca="false">SUMIF(시나리오!$B$5:$B$40,A23,시나리오!$F$5:$F$40)</f>
        <v>102</v>
      </c>
    </row>
    <row r="24" customFormat="false" ht="15" hidden="false" customHeight="false" outlineLevel="0" collapsed="false">
      <c r="A24" s="22" t="s">
        <v>71</v>
      </c>
      <c r="B24" s="12" t="n">
        <f aca="false">COUNTIF(시나리오!$B$5:$B$40,A24)</f>
        <v>1</v>
      </c>
      <c r="C24" s="13" t="n">
        <f aca="false">SUMIF(시나리오!$B$5:$B$40,A24,시나리오!$F$5:$F$40)</f>
        <v>8</v>
      </c>
    </row>
    <row r="25" customFormat="false" ht="15" hidden="false" customHeight="false" outlineLevel="0" collapsed="false">
      <c r="A25" s="22" t="s">
        <v>76</v>
      </c>
      <c r="B25" s="12" t="n">
        <f aca="false">COUNTIF(시나리오!$B$5:$B$40,A25)</f>
        <v>5</v>
      </c>
      <c r="C25" s="13" t="n">
        <f aca="false">SUMIF(시나리오!$B$5:$B$40,A25,시나리오!$F$5:$F$40)</f>
        <v>79</v>
      </c>
    </row>
    <row r="26" customFormat="false" ht="15" hidden="false" customHeight="false" outlineLevel="0" collapsed="false">
      <c r="A26" s="22" t="s">
        <v>97</v>
      </c>
      <c r="B26" s="12" t="n">
        <f aca="false">COUNTIF(시나리오!$B$5:$B$40,A26)</f>
        <v>2</v>
      </c>
      <c r="C26" s="13" t="n">
        <f aca="false">SUMIF(시나리오!$B$5:$B$40,A26,시나리오!$F$5:$F$40)</f>
        <v>35</v>
      </c>
    </row>
    <row r="27" customFormat="false" ht="15" hidden="false" customHeight="false" outlineLevel="0" collapsed="false">
      <c r="A27" s="22" t="s">
        <v>106</v>
      </c>
      <c r="B27" s="12" t="n">
        <f aca="false">COUNTIF(시나리오!$B$5:$B$40,A27)</f>
        <v>6</v>
      </c>
      <c r="C27" s="13" t="n">
        <f aca="false">SUMIF(시나리오!$B$5:$B$40,A27,시나리오!$F$5:$F$40)</f>
        <v>95</v>
      </c>
    </row>
    <row r="28" customFormat="false" ht="15" hidden="false" customHeight="false" outlineLevel="0" collapsed="false">
      <c r="A28" s="22" t="s">
        <v>131</v>
      </c>
      <c r="B28" s="12" t="n">
        <f aca="false">COUNTIF(시나리오!$B$5:$B$40,A28)</f>
        <v>8</v>
      </c>
      <c r="C28" s="13" t="n">
        <f aca="false">SUMIF(시나리오!$B$5:$B$40,A28,시나리오!$F$5:$F$40)</f>
        <v>131</v>
      </c>
    </row>
    <row r="29" customFormat="false" ht="15" hidden="false" customHeight="false" outlineLevel="0" collapsed="false">
      <c r="A29" s="22" t="s">
        <v>164</v>
      </c>
      <c r="B29" s="12" t="n">
        <f aca="false">COUNTIF(시나리오!$B$5:$B$40,A29)</f>
        <v>1</v>
      </c>
      <c r="C29" s="13" t="n">
        <f aca="false">SUMIF(시나리오!$B$5:$B$40,A29,시나리오!$F$5:$F$40)</f>
        <v>7</v>
      </c>
    </row>
    <row r="30" customFormat="false" ht="15" hidden="false" customHeight="false" outlineLevel="0" collapsed="false">
      <c r="A30" s="21" t="s">
        <v>184</v>
      </c>
      <c r="B30" s="21" t="n">
        <f aca="false">SUM(B20:B29)</f>
        <v>36</v>
      </c>
      <c r="C30" s="23" t="n">
        <f aca="false">SUM(C20:C29)</f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2" min="1" style="0" width="14.02"/>
    <col collapsed="false" customWidth="true" hidden="false" outlineLevel="0" max="3" min="3" style="0" width="52.04"/>
    <col collapsed="false" customWidth="true" hidden="false" outlineLevel="0" max="5" min="4" style="0" width="12.01"/>
    <col collapsed="false" customWidth="true" hidden="false" outlineLevel="0" max="6" min="6" style="0" width="60.04"/>
  </cols>
  <sheetData>
    <row r="1" customFormat="false" ht="20.8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24" hidden="false" customHeight="true" outlineLevel="0" collapsed="false">
      <c r="A4" s="5" t="s">
        <v>187</v>
      </c>
      <c r="B4" s="5" t="s">
        <v>188</v>
      </c>
      <c r="C4" s="5" t="s">
        <v>189</v>
      </c>
      <c r="D4" s="5" t="s">
        <v>190</v>
      </c>
      <c r="E4" s="5" t="s">
        <v>191</v>
      </c>
      <c r="F4" s="5" t="s">
        <v>192</v>
      </c>
    </row>
    <row r="5" customFormat="false" ht="19.5" hidden="false" customHeight="true" outlineLevel="0" collapsed="false">
      <c r="A5" s="7" t="s">
        <v>193</v>
      </c>
      <c r="B5" s="7" t="n">
        <v>1</v>
      </c>
      <c r="C5" s="8" t="s">
        <v>194</v>
      </c>
      <c r="D5" s="7" t="s">
        <v>195</v>
      </c>
      <c r="E5" s="7" t="s">
        <v>196</v>
      </c>
      <c r="F5" s="8"/>
    </row>
    <row r="6" customFormat="false" ht="19.5" hidden="false" customHeight="true" outlineLevel="0" collapsed="false">
      <c r="A6" s="7" t="s">
        <v>193</v>
      </c>
      <c r="B6" s="7" t="n">
        <v>2</v>
      </c>
      <c r="C6" s="8" t="s">
        <v>197</v>
      </c>
      <c r="D6" s="7" t="s">
        <v>198</v>
      </c>
      <c r="E6" s="7" t="s">
        <v>196</v>
      </c>
      <c r="F6" s="8"/>
    </row>
    <row r="7" customFormat="false" ht="19.5" hidden="false" customHeight="true" outlineLevel="0" collapsed="false">
      <c r="A7" s="7" t="s">
        <v>193</v>
      </c>
      <c r="B7" s="7" t="n">
        <v>3</v>
      </c>
      <c r="C7" s="8" t="s">
        <v>199</v>
      </c>
      <c r="D7" s="7" t="s">
        <v>200</v>
      </c>
      <c r="E7" s="7" t="s">
        <v>196</v>
      </c>
      <c r="F7" s="8"/>
    </row>
    <row r="8" customFormat="false" ht="19.5" hidden="false" customHeight="true" outlineLevel="0" collapsed="false">
      <c r="A8" s="7" t="s">
        <v>193</v>
      </c>
      <c r="B8" s="7" t="n">
        <v>4</v>
      </c>
      <c r="C8" s="8" t="s">
        <v>201</v>
      </c>
      <c r="D8" s="7" t="s">
        <v>202</v>
      </c>
      <c r="E8" s="7" t="s">
        <v>196</v>
      </c>
      <c r="F8" s="8"/>
    </row>
    <row r="9" customFormat="false" ht="19.5" hidden="false" customHeight="true" outlineLevel="0" collapsed="false">
      <c r="A9" s="7" t="s">
        <v>193</v>
      </c>
      <c r="B9" s="7" t="n">
        <v>5</v>
      </c>
      <c r="C9" s="8" t="s">
        <v>203</v>
      </c>
      <c r="D9" s="7" t="s">
        <v>204</v>
      </c>
      <c r="E9" s="7" t="s">
        <v>196</v>
      </c>
      <c r="F9" s="8"/>
    </row>
    <row r="10" customFormat="false" ht="19.5" hidden="false" customHeight="true" outlineLevel="0" collapsed="false">
      <c r="A10" s="7" t="s">
        <v>193</v>
      </c>
      <c r="B10" s="7" t="n">
        <v>6</v>
      </c>
      <c r="C10" s="8" t="s">
        <v>205</v>
      </c>
      <c r="D10" s="7" t="s">
        <v>206</v>
      </c>
      <c r="E10" s="7" t="s">
        <v>196</v>
      </c>
      <c r="F10" s="8"/>
    </row>
    <row r="11" customFormat="false" ht="19.5" hidden="false" customHeight="true" outlineLevel="0" collapsed="false">
      <c r="A11" s="7" t="s">
        <v>193</v>
      </c>
      <c r="B11" s="7" t="n">
        <v>7</v>
      </c>
      <c r="C11" s="8" t="s">
        <v>207</v>
      </c>
      <c r="D11" s="7" t="s">
        <v>208</v>
      </c>
      <c r="E11" s="7" t="s">
        <v>196</v>
      </c>
      <c r="F11" s="8"/>
    </row>
    <row r="12" customFormat="false" ht="19.5" hidden="false" customHeight="true" outlineLevel="0" collapsed="false">
      <c r="A12" s="7" t="s">
        <v>193</v>
      </c>
      <c r="B12" s="7" t="n">
        <v>8</v>
      </c>
      <c r="C12" s="8" t="s">
        <v>209</v>
      </c>
      <c r="D12" s="7" t="s">
        <v>210</v>
      </c>
      <c r="E12" s="7" t="s">
        <v>196</v>
      </c>
      <c r="F12" s="8"/>
    </row>
    <row r="13" customFormat="false" ht="19.5" hidden="false" customHeight="true" outlineLevel="0" collapsed="false">
      <c r="A13" s="7" t="s">
        <v>193</v>
      </c>
      <c r="B13" s="7" t="n">
        <v>9</v>
      </c>
      <c r="C13" s="8" t="s">
        <v>211</v>
      </c>
      <c r="D13" s="7" t="s">
        <v>212</v>
      </c>
      <c r="E13" s="7" t="s">
        <v>196</v>
      </c>
      <c r="F13" s="8"/>
    </row>
    <row r="14" customFormat="false" ht="19.5" hidden="false" customHeight="true" outlineLevel="0" collapsed="false">
      <c r="A14" s="7" t="s">
        <v>193</v>
      </c>
      <c r="B14" s="7" t="n">
        <v>10</v>
      </c>
      <c r="C14" s="8" t="s">
        <v>213</v>
      </c>
      <c r="D14" s="7" t="s">
        <v>214</v>
      </c>
      <c r="E14" s="7" t="s">
        <v>196</v>
      </c>
      <c r="F14" s="8"/>
    </row>
    <row r="15" customFormat="false" ht="19.5" hidden="false" customHeight="true" outlineLevel="0" collapsed="false">
      <c r="A15" s="7" t="s">
        <v>215</v>
      </c>
      <c r="B15" s="7" t="n">
        <v>1</v>
      </c>
      <c r="C15" s="8" t="s">
        <v>216</v>
      </c>
      <c r="D15" s="7" t="s">
        <v>212</v>
      </c>
      <c r="E15" s="7" t="s">
        <v>196</v>
      </c>
      <c r="F15" s="8" t="s">
        <v>217</v>
      </c>
    </row>
    <row r="16" customFormat="false" ht="19.5" hidden="false" customHeight="true" outlineLevel="0" collapsed="false">
      <c r="A16" s="7" t="s">
        <v>215</v>
      </c>
      <c r="B16" s="7" t="n">
        <v>2</v>
      </c>
      <c r="C16" s="8" t="s">
        <v>218</v>
      </c>
      <c r="D16" s="7" t="s">
        <v>200</v>
      </c>
      <c r="E16" s="7" t="s">
        <v>196</v>
      </c>
      <c r="F16" s="8"/>
    </row>
    <row r="17" customFormat="false" ht="19.5" hidden="false" customHeight="true" outlineLevel="0" collapsed="false">
      <c r="A17" s="7" t="s">
        <v>215</v>
      </c>
      <c r="B17" s="7" t="n">
        <v>3</v>
      </c>
      <c r="C17" s="8" t="s">
        <v>194</v>
      </c>
      <c r="D17" s="7" t="s">
        <v>195</v>
      </c>
      <c r="E17" s="7" t="s">
        <v>196</v>
      </c>
      <c r="F17" s="8"/>
    </row>
    <row r="18" customFormat="false" ht="19.5" hidden="false" customHeight="true" outlineLevel="0" collapsed="false">
      <c r="A18" s="7" t="s">
        <v>215</v>
      </c>
      <c r="B18" s="7" t="n">
        <v>4</v>
      </c>
      <c r="C18" s="8" t="s">
        <v>219</v>
      </c>
      <c r="D18" s="7" t="s">
        <v>198</v>
      </c>
      <c r="E18" s="7" t="s">
        <v>196</v>
      </c>
      <c r="F18" s="8"/>
    </row>
    <row r="19" customFormat="false" ht="19.5" hidden="false" customHeight="true" outlineLevel="0" collapsed="false">
      <c r="A19" s="7" t="s">
        <v>215</v>
      </c>
      <c r="B19" s="7" t="n">
        <v>5</v>
      </c>
      <c r="C19" s="8" t="s">
        <v>220</v>
      </c>
      <c r="D19" s="7" t="s">
        <v>200</v>
      </c>
      <c r="E19" s="7" t="s">
        <v>196</v>
      </c>
      <c r="F19" s="8"/>
    </row>
    <row r="20" customFormat="false" ht="19.5" hidden="false" customHeight="true" outlineLevel="0" collapsed="false">
      <c r="A20" s="7" t="s">
        <v>215</v>
      </c>
      <c r="B20" s="7" t="n">
        <v>6</v>
      </c>
      <c r="C20" s="8" t="s">
        <v>221</v>
      </c>
      <c r="D20" s="7" t="s">
        <v>222</v>
      </c>
      <c r="E20" s="7" t="s">
        <v>196</v>
      </c>
      <c r="F20" s="8"/>
    </row>
    <row r="21" customFormat="false" ht="19.5" hidden="false" customHeight="true" outlineLevel="0" collapsed="false">
      <c r="A21" s="7" t="s">
        <v>215</v>
      </c>
      <c r="B21" s="7" t="n">
        <v>7</v>
      </c>
      <c r="C21" s="8" t="s">
        <v>223</v>
      </c>
      <c r="D21" s="7" t="s">
        <v>222</v>
      </c>
      <c r="E21" s="7" t="s">
        <v>196</v>
      </c>
      <c r="F21" s="8"/>
    </row>
    <row r="22" customFormat="false" ht="19.5" hidden="false" customHeight="true" outlineLevel="0" collapsed="false">
      <c r="A22" s="7" t="s">
        <v>215</v>
      </c>
      <c r="B22" s="7" t="n">
        <v>8</v>
      </c>
      <c r="C22" s="8" t="s">
        <v>224</v>
      </c>
      <c r="D22" s="7" t="s">
        <v>225</v>
      </c>
      <c r="E22" s="7" t="s">
        <v>226</v>
      </c>
      <c r="F22" s="8"/>
    </row>
    <row r="23" customFormat="false" ht="19.5" hidden="false" customHeight="true" outlineLevel="0" collapsed="false">
      <c r="A23" s="7" t="s">
        <v>215</v>
      </c>
      <c r="B23" s="7" t="n">
        <v>9</v>
      </c>
      <c r="C23" s="8" t="s">
        <v>227</v>
      </c>
      <c r="D23" s="7" t="s">
        <v>204</v>
      </c>
      <c r="E23" s="7" t="s">
        <v>196</v>
      </c>
      <c r="F23" s="8" t="s">
        <v>228</v>
      </c>
    </row>
    <row r="24" customFormat="false" ht="33" hidden="false" customHeight="true" outlineLevel="0" collapsed="false">
      <c r="A24" s="7" t="s">
        <v>215</v>
      </c>
      <c r="B24" s="7" t="n">
        <v>10</v>
      </c>
      <c r="C24" s="8" t="s">
        <v>229</v>
      </c>
      <c r="D24" s="7" t="s">
        <v>230</v>
      </c>
      <c r="E24" s="7" t="s">
        <v>196</v>
      </c>
      <c r="F24" s="8"/>
    </row>
    <row r="25" customFormat="false" ht="33" hidden="false" customHeight="true" outlineLevel="0" collapsed="false">
      <c r="A25" s="7" t="s">
        <v>215</v>
      </c>
      <c r="B25" s="7" t="n">
        <v>11</v>
      </c>
      <c r="C25" s="8" t="s">
        <v>231</v>
      </c>
      <c r="D25" s="7" t="s">
        <v>206</v>
      </c>
      <c r="E25" s="7" t="s">
        <v>196</v>
      </c>
      <c r="F25" s="8" t="s">
        <v>232</v>
      </c>
    </row>
    <row r="26" customFormat="false" ht="19.5" hidden="false" customHeight="true" outlineLevel="0" collapsed="false">
      <c r="A26" s="7" t="s">
        <v>215</v>
      </c>
      <c r="B26" s="7" t="n">
        <v>12</v>
      </c>
      <c r="C26" s="8" t="s">
        <v>233</v>
      </c>
      <c r="D26" s="7" t="s">
        <v>234</v>
      </c>
      <c r="E26" s="7" t="s">
        <v>226</v>
      </c>
      <c r="F26" s="8"/>
    </row>
    <row r="27" customFormat="false" ht="19.5" hidden="false" customHeight="true" outlineLevel="0" collapsed="false">
      <c r="A27" s="7" t="s">
        <v>215</v>
      </c>
      <c r="B27" s="7" t="n">
        <v>13</v>
      </c>
      <c r="C27" s="8" t="s">
        <v>235</v>
      </c>
      <c r="D27" s="7" t="s">
        <v>204</v>
      </c>
      <c r="E27" s="7" t="s">
        <v>196</v>
      </c>
      <c r="F27" s="8"/>
    </row>
    <row r="28" customFormat="false" ht="19.5" hidden="false" customHeight="true" outlineLevel="0" collapsed="false">
      <c r="A28" s="7" t="s">
        <v>215</v>
      </c>
      <c r="B28" s="7" t="n">
        <v>14</v>
      </c>
      <c r="C28" s="8" t="s">
        <v>236</v>
      </c>
      <c r="D28" s="7" t="s">
        <v>237</v>
      </c>
      <c r="E28" s="7" t="s">
        <v>226</v>
      </c>
      <c r="F28" s="8"/>
    </row>
    <row r="29" customFormat="false" ht="19.5" hidden="false" customHeight="true" outlineLevel="0" collapsed="false">
      <c r="A29" s="7" t="s">
        <v>215</v>
      </c>
      <c r="B29" s="7" t="n">
        <v>15</v>
      </c>
      <c r="C29" s="8" t="s">
        <v>238</v>
      </c>
      <c r="D29" s="7" t="s">
        <v>239</v>
      </c>
      <c r="E29" s="7" t="s">
        <v>196</v>
      </c>
      <c r="F29" s="8"/>
    </row>
    <row r="30" customFormat="false" ht="33" hidden="false" customHeight="true" outlineLevel="0" collapsed="false">
      <c r="A30" s="7" t="s">
        <v>215</v>
      </c>
      <c r="B30" s="7" t="n">
        <v>16</v>
      </c>
      <c r="C30" s="8" t="s">
        <v>240</v>
      </c>
      <c r="D30" s="7" t="s">
        <v>230</v>
      </c>
      <c r="E30" s="7" t="s">
        <v>196</v>
      </c>
      <c r="F30" s="8"/>
    </row>
    <row r="31" customFormat="false" ht="19.5" hidden="false" customHeight="true" outlineLevel="0" collapsed="false">
      <c r="A31" s="7" t="s">
        <v>215</v>
      </c>
      <c r="B31" s="7" t="n">
        <v>17</v>
      </c>
      <c r="C31" s="8" t="s">
        <v>241</v>
      </c>
      <c r="D31" s="7" t="s">
        <v>208</v>
      </c>
      <c r="E31" s="7" t="s">
        <v>196</v>
      </c>
      <c r="F31" s="8" t="s">
        <v>228</v>
      </c>
    </row>
    <row r="32" customFormat="false" ht="19.5" hidden="false" customHeight="true" outlineLevel="0" collapsed="false">
      <c r="A32" s="7" t="s">
        <v>215</v>
      </c>
      <c r="B32" s="7" t="n">
        <v>18</v>
      </c>
      <c r="C32" s="8" t="s">
        <v>242</v>
      </c>
      <c r="D32" s="7" t="s">
        <v>243</v>
      </c>
      <c r="E32" s="7" t="s">
        <v>226</v>
      </c>
      <c r="F32" s="8" t="s">
        <v>232</v>
      </c>
    </row>
    <row r="33" customFormat="false" ht="33" hidden="false" customHeight="true" outlineLevel="0" collapsed="false">
      <c r="A33" s="7" t="s">
        <v>215</v>
      </c>
      <c r="B33" s="7" t="n">
        <v>19</v>
      </c>
      <c r="C33" s="8" t="s">
        <v>244</v>
      </c>
      <c r="D33" s="7" t="s">
        <v>239</v>
      </c>
      <c r="E33" s="7" t="s">
        <v>196</v>
      </c>
      <c r="F33" s="8"/>
    </row>
    <row r="34" customFormat="false" ht="19.5" hidden="false" customHeight="true" outlineLevel="0" collapsed="false">
      <c r="A34" s="7" t="s">
        <v>215</v>
      </c>
      <c r="B34" s="7" t="n">
        <v>20</v>
      </c>
      <c r="C34" s="8" t="s">
        <v>209</v>
      </c>
      <c r="D34" s="7" t="s">
        <v>210</v>
      </c>
      <c r="E34" s="7" t="s">
        <v>196</v>
      </c>
      <c r="F34" s="8" t="s">
        <v>228</v>
      </c>
    </row>
    <row r="35" customFormat="false" ht="19.5" hidden="false" customHeight="true" outlineLevel="0" collapsed="false">
      <c r="A35" s="7" t="s">
        <v>215</v>
      </c>
      <c r="B35" s="7" t="n">
        <v>21</v>
      </c>
      <c r="C35" s="8" t="s">
        <v>245</v>
      </c>
      <c r="D35" s="7" t="s">
        <v>246</v>
      </c>
      <c r="E35" s="7" t="s">
        <v>196</v>
      </c>
      <c r="F35" s="8"/>
    </row>
    <row r="36" customFormat="false" ht="19.5" hidden="false" customHeight="true" outlineLevel="0" collapsed="false">
      <c r="A36" s="7" t="s">
        <v>215</v>
      </c>
      <c r="B36" s="7" t="n">
        <v>22</v>
      </c>
      <c r="C36" s="8" t="s">
        <v>247</v>
      </c>
      <c r="D36" s="7" t="s">
        <v>210</v>
      </c>
      <c r="E36" s="7" t="s">
        <v>196</v>
      </c>
      <c r="F36" s="8" t="s">
        <v>248</v>
      </c>
    </row>
    <row r="37" customFormat="false" ht="19.5" hidden="false" customHeight="true" outlineLevel="0" collapsed="false">
      <c r="A37" s="7" t="s">
        <v>215</v>
      </c>
      <c r="B37" s="7" t="n">
        <v>23</v>
      </c>
      <c r="C37" s="8" t="s">
        <v>249</v>
      </c>
      <c r="D37" s="7" t="s">
        <v>246</v>
      </c>
      <c r="E37" s="7" t="s">
        <v>196</v>
      </c>
      <c r="F37" s="8" t="s">
        <v>228</v>
      </c>
    </row>
    <row r="38" customFormat="false" ht="19.5" hidden="false" customHeight="true" outlineLevel="0" collapsed="false">
      <c r="A38" s="7" t="s">
        <v>215</v>
      </c>
      <c r="B38" s="7" t="n">
        <v>24</v>
      </c>
      <c r="C38" s="8" t="s">
        <v>250</v>
      </c>
      <c r="D38" s="7" t="s">
        <v>251</v>
      </c>
      <c r="E38" s="7" t="s">
        <v>196</v>
      </c>
      <c r="F38" s="8"/>
    </row>
    <row r="39" customFormat="false" ht="33" hidden="false" customHeight="true" outlineLevel="0" collapsed="false">
      <c r="A39" s="7" t="s">
        <v>215</v>
      </c>
      <c r="B39" s="7" t="n">
        <v>25</v>
      </c>
      <c r="C39" s="8" t="s">
        <v>252</v>
      </c>
      <c r="D39" s="7" t="s">
        <v>253</v>
      </c>
      <c r="E39" s="7" t="s">
        <v>196</v>
      </c>
      <c r="F39" s="8" t="s">
        <v>254</v>
      </c>
    </row>
    <row r="40" customFormat="false" ht="19.5" hidden="false" customHeight="true" outlineLevel="0" collapsed="false">
      <c r="A40" s="7" t="s">
        <v>215</v>
      </c>
      <c r="B40" s="7" t="n">
        <v>26</v>
      </c>
      <c r="C40" s="8" t="s">
        <v>255</v>
      </c>
      <c r="D40" s="7" t="s">
        <v>256</v>
      </c>
      <c r="E40" s="7" t="s">
        <v>226</v>
      </c>
      <c r="F40" s="8" t="s">
        <v>232</v>
      </c>
    </row>
    <row r="41" customFormat="false" ht="19.5" hidden="false" customHeight="true" outlineLevel="0" collapsed="false">
      <c r="A41" s="7" t="s">
        <v>215</v>
      </c>
      <c r="B41" s="7" t="n">
        <v>27</v>
      </c>
      <c r="C41" s="8" t="s">
        <v>257</v>
      </c>
      <c r="D41" s="7" t="s">
        <v>202</v>
      </c>
      <c r="E41" s="7" t="s">
        <v>196</v>
      </c>
      <c r="F41" s="8"/>
    </row>
    <row r="42" customFormat="false" ht="33" hidden="false" customHeight="true" outlineLevel="0" collapsed="false">
      <c r="A42" s="7" t="s">
        <v>215</v>
      </c>
      <c r="B42" s="7" t="n">
        <v>28</v>
      </c>
      <c r="C42" s="8" t="s">
        <v>258</v>
      </c>
      <c r="D42" s="7" t="s">
        <v>259</v>
      </c>
      <c r="E42" s="7" t="s">
        <v>260</v>
      </c>
      <c r="F42" s="8" t="s">
        <v>261</v>
      </c>
    </row>
    <row r="43" customFormat="false" ht="19.5" hidden="false" customHeight="true" outlineLevel="0" collapsed="false">
      <c r="A43" s="7" t="s">
        <v>215</v>
      </c>
      <c r="B43" s="7" t="n">
        <v>29</v>
      </c>
      <c r="C43" s="8" t="s">
        <v>262</v>
      </c>
      <c r="D43" s="7" t="s">
        <v>263</v>
      </c>
      <c r="E43" s="7" t="s">
        <v>196</v>
      </c>
      <c r="F43" s="8" t="s">
        <v>217</v>
      </c>
    </row>
    <row r="44" customFormat="false" ht="19.5" hidden="false" customHeight="true" outlineLevel="0" collapsed="false">
      <c r="A44" s="7" t="s">
        <v>215</v>
      </c>
      <c r="B44" s="7" t="n">
        <v>30</v>
      </c>
      <c r="C44" s="8" t="s">
        <v>264</v>
      </c>
      <c r="D44" s="7" t="s">
        <v>202</v>
      </c>
      <c r="E44" s="7" t="s">
        <v>196</v>
      </c>
      <c r="F44" s="8"/>
    </row>
    <row r="45" customFormat="false" ht="19.5" hidden="false" customHeight="true" outlineLevel="0" collapsed="false">
      <c r="A45" s="7" t="s">
        <v>215</v>
      </c>
      <c r="B45" s="7" t="n">
        <v>31</v>
      </c>
      <c r="C45" s="8" t="s">
        <v>265</v>
      </c>
      <c r="D45" s="7" t="s">
        <v>202</v>
      </c>
      <c r="E45" s="7" t="s">
        <v>196</v>
      </c>
      <c r="F45" s="8"/>
    </row>
    <row r="46" customFormat="false" ht="19.5" hidden="false" customHeight="true" outlineLevel="0" collapsed="false">
      <c r="A46" s="7" t="s">
        <v>215</v>
      </c>
      <c r="B46" s="7" t="n">
        <v>32</v>
      </c>
      <c r="C46" s="8" t="s">
        <v>266</v>
      </c>
      <c r="D46" s="7" t="s">
        <v>263</v>
      </c>
      <c r="E46" s="7" t="s">
        <v>196</v>
      </c>
      <c r="F46" s="8" t="s">
        <v>232</v>
      </c>
    </row>
    <row r="47" customFormat="false" ht="19.5" hidden="false" customHeight="true" outlineLevel="0" collapsed="false">
      <c r="A47" s="7" t="s">
        <v>215</v>
      </c>
      <c r="B47" s="7" t="n">
        <v>33</v>
      </c>
      <c r="C47" s="8" t="s">
        <v>267</v>
      </c>
      <c r="D47" s="7" t="s">
        <v>268</v>
      </c>
      <c r="E47" s="7" t="s">
        <v>196</v>
      </c>
      <c r="F47" s="8"/>
    </row>
    <row r="48" customFormat="false" ht="19.5" hidden="false" customHeight="true" outlineLevel="0" collapsed="false">
      <c r="A48" s="7" t="s">
        <v>215</v>
      </c>
      <c r="B48" s="7" t="n">
        <v>34</v>
      </c>
      <c r="C48" s="8" t="s">
        <v>211</v>
      </c>
      <c r="D48" s="7" t="s">
        <v>212</v>
      </c>
      <c r="E48" s="7" t="s">
        <v>196</v>
      </c>
      <c r="F48" s="8" t="s">
        <v>232</v>
      </c>
    </row>
    <row r="49" customFormat="false" ht="19.5" hidden="false" customHeight="true" outlineLevel="0" collapsed="false">
      <c r="A49" s="7" t="s">
        <v>215</v>
      </c>
      <c r="B49" s="7" t="n">
        <v>35</v>
      </c>
      <c r="C49" s="8" t="s">
        <v>269</v>
      </c>
      <c r="D49" s="7" t="s">
        <v>212</v>
      </c>
      <c r="E49" s="7" t="s">
        <v>196</v>
      </c>
      <c r="F49" s="8" t="s">
        <v>232</v>
      </c>
    </row>
    <row r="50" customFormat="false" ht="19.5" hidden="false" customHeight="true" outlineLevel="0" collapsed="false">
      <c r="A50" s="7" t="s">
        <v>215</v>
      </c>
      <c r="B50" s="7" t="n">
        <v>36</v>
      </c>
      <c r="C50" s="8" t="s">
        <v>270</v>
      </c>
      <c r="D50" s="7" t="s">
        <v>268</v>
      </c>
      <c r="E50" s="7" t="s">
        <v>196</v>
      </c>
      <c r="F50" s="8"/>
    </row>
    <row r="51" customFormat="false" ht="19.5" hidden="false" customHeight="true" outlineLevel="0" collapsed="false">
      <c r="A51" s="7" t="s">
        <v>215</v>
      </c>
      <c r="B51" s="7" t="n">
        <v>37</v>
      </c>
      <c r="C51" s="8" t="s">
        <v>271</v>
      </c>
      <c r="D51" s="7" t="s">
        <v>272</v>
      </c>
      <c r="E51" s="7" t="s">
        <v>196</v>
      </c>
      <c r="F51" s="8" t="s">
        <v>228</v>
      </c>
    </row>
    <row r="52" customFormat="false" ht="19.5" hidden="false" customHeight="true" outlineLevel="0" collapsed="false">
      <c r="A52" s="7" t="s">
        <v>215</v>
      </c>
      <c r="B52" s="7" t="n">
        <v>38</v>
      </c>
      <c r="C52" s="8" t="s">
        <v>273</v>
      </c>
      <c r="D52" s="7" t="s">
        <v>272</v>
      </c>
      <c r="E52" s="7" t="s">
        <v>196</v>
      </c>
      <c r="F52" s="8" t="s">
        <v>274</v>
      </c>
    </row>
    <row r="53" customFormat="false" ht="19.5" hidden="false" customHeight="true" outlineLevel="0" collapsed="false">
      <c r="A53" s="7" t="s">
        <v>215</v>
      </c>
      <c r="B53" s="7" t="n">
        <v>39</v>
      </c>
      <c r="C53" s="8" t="s">
        <v>275</v>
      </c>
      <c r="D53" s="7" t="s">
        <v>212</v>
      </c>
      <c r="E53" s="7" t="s">
        <v>196</v>
      </c>
      <c r="F53" s="8" t="s">
        <v>232</v>
      </c>
    </row>
    <row r="54" customFormat="false" ht="19.5" hidden="false" customHeight="true" outlineLevel="0" collapsed="false">
      <c r="A54" s="7" t="s">
        <v>215</v>
      </c>
      <c r="B54" s="7" t="n">
        <v>40</v>
      </c>
      <c r="C54" s="8" t="s">
        <v>276</v>
      </c>
      <c r="D54" s="7" t="s">
        <v>277</v>
      </c>
      <c r="E54" s="7" t="s">
        <v>196</v>
      </c>
      <c r="F54" s="8" t="s">
        <v>254</v>
      </c>
    </row>
    <row r="55" customFormat="false" ht="19.5" hidden="false" customHeight="true" outlineLevel="0" collapsed="false">
      <c r="A55" s="7" t="s">
        <v>215</v>
      </c>
      <c r="B55" s="7" t="n">
        <v>41</v>
      </c>
      <c r="C55" s="8" t="s">
        <v>278</v>
      </c>
      <c r="D55" s="7" t="s">
        <v>279</v>
      </c>
      <c r="E55" s="7" t="s">
        <v>196</v>
      </c>
      <c r="F55" s="8"/>
    </row>
    <row r="56" customFormat="false" ht="19.5" hidden="false" customHeight="true" outlineLevel="0" collapsed="false">
      <c r="A56" s="7" t="s">
        <v>215</v>
      </c>
      <c r="B56" s="7" t="n">
        <v>42</v>
      </c>
      <c r="C56" s="8" t="s">
        <v>280</v>
      </c>
      <c r="D56" s="7" t="s">
        <v>281</v>
      </c>
      <c r="E56" s="7" t="s">
        <v>226</v>
      </c>
      <c r="F56" s="8"/>
    </row>
    <row r="57" customFormat="false" ht="19.5" hidden="false" customHeight="true" outlineLevel="0" collapsed="false">
      <c r="A57" s="7" t="s">
        <v>215</v>
      </c>
      <c r="B57" s="7" t="n">
        <v>43</v>
      </c>
      <c r="C57" s="8" t="s">
        <v>282</v>
      </c>
      <c r="D57" s="7" t="s">
        <v>283</v>
      </c>
      <c r="E57" s="7" t="s">
        <v>226</v>
      </c>
      <c r="F57" s="8"/>
    </row>
    <row r="58" customFormat="false" ht="19.5" hidden="false" customHeight="true" outlineLevel="0" collapsed="false">
      <c r="A58" s="7" t="s">
        <v>215</v>
      </c>
      <c r="B58" s="7" t="n">
        <v>44</v>
      </c>
      <c r="C58" s="8" t="s">
        <v>284</v>
      </c>
      <c r="D58" s="7" t="s">
        <v>214</v>
      </c>
      <c r="E58" s="7" t="s">
        <v>196</v>
      </c>
      <c r="F58" s="8" t="s">
        <v>228</v>
      </c>
    </row>
    <row r="59" customFormat="false" ht="19.5" hidden="false" customHeight="true" outlineLevel="0" collapsed="false">
      <c r="A59" s="7" t="s">
        <v>215</v>
      </c>
      <c r="B59" s="7" t="n">
        <v>45</v>
      </c>
      <c r="C59" s="8" t="s">
        <v>285</v>
      </c>
      <c r="D59" s="7" t="s">
        <v>214</v>
      </c>
      <c r="E59" s="7" t="s">
        <v>196</v>
      </c>
      <c r="F59" s="8" t="s">
        <v>228</v>
      </c>
    </row>
    <row r="60" customFormat="false" ht="19.5" hidden="false" customHeight="true" outlineLevel="0" collapsed="false">
      <c r="A60" s="7" t="s">
        <v>215</v>
      </c>
      <c r="B60" s="7" t="n">
        <v>46</v>
      </c>
      <c r="C60" s="8" t="s">
        <v>286</v>
      </c>
      <c r="D60" s="7" t="s">
        <v>287</v>
      </c>
      <c r="E60" s="7" t="s">
        <v>226</v>
      </c>
      <c r="F60" s="8" t="s">
        <v>274</v>
      </c>
    </row>
    <row r="61" customFormat="false" ht="19.5" hidden="false" customHeight="true" outlineLevel="0" collapsed="false">
      <c r="A61" s="7" t="s">
        <v>215</v>
      </c>
      <c r="B61" s="7" t="n">
        <v>47</v>
      </c>
      <c r="C61" s="8" t="s">
        <v>288</v>
      </c>
      <c r="D61" s="7" t="s">
        <v>289</v>
      </c>
      <c r="E61" s="7" t="s">
        <v>196</v>
      </c>
      <c r="F61" s="8" t="s">
        <v>228</v>
      </c>
    </row>
    <row r="62" customFormat="false" ht="19.5" hidden="false" customHeight="true" outlineLevel="0" collapsed="false">
      <c r="A62" s="7" t="s">
        <v>215</v>
      </c>
      <c r="B62" s="7" t="n">
        <v>48</v>
      </c>
      <c r="C62" s="8" t="s">
        <v>290</v>
      </c>
      <c r="D62" s="7" t="s">
        <v>291</v>
      </c>
      <c r="E62" s="7" t="s">
        <v>196</v>
      </c>
      <c r="F62" s="8" t="s">
        <v>228</v>
      </c>
    </row>
    <row r="63" customFormat="false" ht="19.5" hidden="false" customHeight="true" outlineLevel="0" collapsed="false">
      <c r="A63" s="7" t="s">
        <v>215</v>
      </c>
      <c r="B63" s="7" t="n">
        <v>49</v>
      </c>
      <c r="C63" s="8" t="s">
        <v>292</v>
      </c>
      <c r="D63" s="7" t="s">
        <v>291</v>
      </c>
      <c r="E63" s="7" t="s">
        <v>196</v>
      </c>
      <c r="F63" s="8" t="s">
        <v>232</v>
      </c>
    </row>
    <row r="64" customFormat="false" ht="19.5" hidden="false" customHeight="true" outlineLevel="0" collapsed="false">
      <c r="A64" s="7" t="s">
        <v>215</v>
      </c>
      <c r="B64" s="7" t="n">
        <v>50</v>
      </c>
      <c r="C64" s="8" t="s">
        <v>293</v>
      </c>
      <c r="D64" s="7" t="s">
        <v>294</v>
      </c>
      <c r="E64" s="7" t="s">
        <v>226</v>
      </c>
      <c r="F64" s="8" t="s">
        <v>254</v>
      </c>
    </row>
    <row r="65" customFormat="false" ht="33" hidden="false" customHeight="true" outlineLevel="0" collapsed="false">
      <c r="A65" s="7" t="s">
        <v>215</v>
      </c>
      <c r="B65" s="7" t="n">
        <v>51</v>
      </c>
      <c r="C65" s="8" t="s">
        <v>295</v>
      </c>
      <c r="D65" s="7" t="s">
        <v>296</v>
      </c>
      <c r="E65" s="7" t="s">
        <v>226</v>
      </c>
      <c r="F65" s="8" t="s">
        <v>217</v>
      </c>
    </row>
    <row r="66" customFormat="false" ht="19.5" hidden="false" customHeight="true" outlineLevel="0" collapsed="false">
      <c r="A66" s="7" t="s">
        <v>27</v>
      </c>
      <c r="B66" s="7" t="s">
        <v>297</v>
      </c>
      <c r="C66" s="8" t="s">
        <v>298</v>
      </c>
      <c r="D66" s="7" t="s">
        <v>299</v>
      </c>
      <c r="E66" s="7" t="s">
        <v>300</v>
      </c>
      <c r="F66" s="8"/>
    </row>
    <row r="67" customFormat="false" ht="33" hidden="false" customHeight="true" outlineLevel="0" collapsed="false">
      <c r="A67" s="7" t="s">
        <v>21</v>
      </c>
      <c r="B67" s="7" t="s">
        <v>301</v>
      </c>
      <c r="C67" s="8" t="s">
        <v>302</v>
      </c>
      <c r="D67" s="7" t="s">
        <v>200</v>
      </c>
      <c r="E67" s="7" t="s">
        <v>196</v>
      </c>
      <c r="F67" s="8"/>
    </row>
    <row r="68" customFormat="false" ht="19.5" hidden="false" customHeight="true" outlineLevel="0" collapsed="false">
      <c r="A68" s="7" t="s">
        <v>21</v>
      </c>
      <c r="B68" s="7" t="s">
        <v>303</v>
      </c>
      <c r="C68" s="8" t="s">
        <v>304</v>
      </c>
      <c r="D68" s="7" t="s">
        <v>305</v>
      </c>
      <c r="E68" s="7" t="s">
        <v>226</v>
      </c>
      <c r="F68" s="8"/>
    </row>
    <row r="69" customFormat="false" ht="19.5" hidden="false" customHeight="true" outlineLevel="0" collapsed="false">
      <c r="A69" s="7" t="s">
        <v>21</v>
      </c>
      <c r="B69" s="7" t="s">
        <v>306</v>
      </c>
      <c r="C69" s="8" t="s">
        <v>307</v>
      </c>
      <c r="D69" s="7" t="s">
        <v>208</v>
      </c>
      <c r="E69" s="7" t="s">
        <v>196</v>
      </c>
      <c r="F69" s="8"/>
    </row>
    <row r="70" customFormat="false" ht="19.5" hidden="false" customHeight="true" outlineLevel="0" collapsed="false">
      <c r="A70" s="7" t="s">
        <v>21</v>
      </c>
      <c r="B70" s="7" t="s">
        <v>308</v>
      </c>
      <c r="C70" s="8" t="s">
        <v>309</v>
      </c>
      <c r="D70" s="7" t="s">
        <v>251</v>
      </c>
      <c r="E70" s="7" t="s">
        <v>196</v>
      </c>
      <c r="F70" s="8"/>
    </row>
    <row r="71" customFormat="false" ht="19.5" hidden="false" customHeight="true" outlineLevel="0" collapsed="false">
      <c r="A71" s="7" t="s">
        <v>21</v>
      </c>
      <c r="B71" s="7" t="s">
        <v>310</v>
      </c>
      <c r="C71" s="8" t="s">
        <v>311</v>
      </c>
      <c r="D71" s="7" t="s">
        <v>312</v>
      </c>
      <c r="E71" s="7" t="s">
        <v>226</v>
      </c>
      <c r="F71" s="8"/>
    </row>
    <row r="72" customFormat="false" ht="33" hidden="false" customHeight="true" outlineLevel="0" collapsed="false">
      <c r="A72" s="7" t="s">
        <v>21</v>
      </c>
      <c r="B72" s="7" t="s">
        <v>313</v>
      </c>
      <c r="C72" s="8" t="s">
        <v>314</v>
      </c>
      <c r="D72" s="7" t="s">
        <v>315</v>
      </c>
      <c r="E72" s="7" t="s">
        <v>300</v>
      </c>
      <c r="F72" s="8"/>
    </row>
    <row r="73" customFormat="false" ht="19.5" hidden="false" customHeight="true" outlineLevel="0" collapsed="false">
      <c r="A73" s="7" t="s">
        <v>21</v>
      </c>
      <c r="B73" s="7" t="s">
        <v>316</v>
      </c>
      <c r="C73" s="8" t="s">
        <v>317</v>
      </c>
      <c r="D73" s="7" t="s">
        <v>253</v>
      </c>
      <c r="E73" s="7" t="s">
        <v>196</v>
      </c>
      <c r="F73" s="8"/>
    </row>
    <row r="74" customFormat="false" ht="19.5" hidden="false" customHeight="true" outlineLevel="0" collapsed="false">
      <c r="A74" s="7" t="s">
        <v>21</v>
      </c>
      <c r="B74" s="7" t="s">
        <v>318</v>
      </c>
      <c r="C74" s="8" t="s">
        <v>319</v>
      </c>
      <c r="D74" s="7" t="s">
        <v>320</v>
      </c>
      <c r="E74" s="7" t="s">
        <v>226</v>
      </c>
      <c r="F74" s="8"/>
    </row>
    <row r="75" customFormat="false" ht="19.5" hidden="false" customHeight="true" outlineLevel="0" collapsed="false">
      <c r="A75" s="7" t="s">
        <v>21</v>
      </c>
      <c r="B75" s="7" t="s">
        <v>321</v>
      </c>
      <c r="C75" s="8" t="s">
        <v>322</v>
      </c>
      <c r="D75" s="7" t="s">
        <v>277</v>
      </c>
      <c r="E75" s="7" t="s">
        <v>196</v>
      </c>
      <c r="F75" s="8"/>
    </row>
    <row r="76" customFormat="false" ht="19.5" hidden="false" customHeight="true" outlineLevel="0" collapsed="false">
      <c r="A76" s="7" t="s">
        <v>21</v>
      </c>
      <c r="B76" s="7" t="s">
        <v>323</v>
      </c>
      <c r="C76" s="8" t="s">
        <v>324</v>
      </c>
      <c r="D76" s="7" t="s">
        <v>279</v>
      </c>
      <c r="E76" s="7" t="s">
        <v>196</v>
      </c>
      <c r="F76" s="8"/>
    </row>
    <row r="78" customFormat="false" ht="15" hidden="false" customHeight="false" outlineLevel="0" collapsed="false">
      <c r="A78" s="2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110.07"/>
  </cols>
  <sheetData>
    <row r="1" customFormat="false" ht="17.35" hidden="false" customHeight="false" outlineLevel="0" collapsed="false">
      <c r="A1" s="1" t="s">
        <v>326</v>
      </c>
    </row>
    <row r="3" customFormat="false" ht="15" hidden="false" customHeight="false" outlineLevel="0" collapsed="false">
      <c r="A3" s="24" t="s">
        <v>327</v>
      </c>
      <c r="B3" s="25"/>
    </row>
    <row r="4" customFormat="false" ht="33" hidden="false" customHeight="true" outlineLevel="0" collapsed="false">
      <c r="B4" s="26" t="s">
        <v>328</v>
      </c>
    </row>
    <row r="5" customFormat="false" ht="33" hidden="false" customHeight="true" outlineLevel="0" collapsed="false">
      <c r="B5" s="26" t="s">
        <v>329</v>
      </c>
    </row>
    <row r="6" customFormat="false" ht="33" hidden="false" customHeight="true" outlineLevel="0" collapsed="false">
      <c r="B6" s="26" t="s">
        <v>330</v>
      </c>
    </row>
    <row r="7" customFormat="false" ht="18" hidden="false" customHeight="true" outlineLevel="0" collapsed="false">
      <c r="B7" s="26" t="s">
        <v>331</v>
      </c>
    </row>
    <row r="8" customFormat="false" ht="15" hidden="false" customHeight="false" outlineLevel="0" collapsed="false">
      <c r="A8" s="24" t="s">
        <v>332</v>
      </c>
      <c r="B8" s="25"/>
    </row>
    <row r="9" customFormat="false" ht="33" hidden="false" customHeight="true" outlineLevel="0" collapsed="false">
      <c r="B9" s="26" t="s">
        <v>333</v>
      </c>
    </row>
    <row r="10" customFormat="false" ht="33" hidden="false" customHeight="true" outlineLevel="0" collapsed="false">
      <c r="B10" s="26" t="s">
        <v>334</v>
      </c>
    </row>
    <row r="11" customFormat="false" ht="33" hidden="false" customHeight="true" outlineLevel="0" collapsed="false">
      <c r="B11" s="26" t="s">
        <v>335</v>
      </c>
    </row>
    <row r="12" customFormat="false" ht="15" hidden="false" customHeight="false" outlineLevel="0" collapsed="false">
      <c r="A12" s="24" t="s">
        <v>336</v>
      </c>
      <c r="B12" s="25"/>
    </row>
    <row r="13" customFormat="false" ht="18" hidden="false" customHeight="true" outlineLevel="0" collapsed="false">
      <c r="B13" s="26" t="s">
        <v>337</v>
      </c>
    </row>
    <row r="14" customFormat="false" ht="33" hidden="false" customHeight="true" outlineLevel="0" collapsed="false">
      <c r="B14" s="26" t="s">
        <v>338</v>
      </c>
    </row>
    <row r="15" customFormat="false" ht="33" hidden="false" customHeight="true" outlineLevel="0" collapsed="false">
      <c r="B15" s="26" t="s">
        <v>339</v>
      </c>
    </row>
    <row r="16" customFormat="false" ht="33" hidden="false" customHeight="true" outlineLevel="0" collapsed="false">
      <c r="B16" s="26" t="s">
        <v>340</v>
      </c>
    </row>
    <row r="17" customFormat="false" ht="18" hidden="false" customHeight="true" outlineLevel="0" collapsed="false">
      <c r="B17" s="26" t="s">
        <v>341</v>
      </c>
    </row>
    <row r="19" customFormat="false" ht="15" hidden="false" customHeight="false" outlineLevel="0" collapsed="false">
      <c r="A19" s="21" t="s">
        <v>342</v>
      </c>
    </row>
    <row r="20" customFormat="false" ht="24" hidden="false" customHeight="true" outlineLevel="0" collapsed="false">
      <c r="A20" s="5" t="s">
        <v>190</v>
      </c>
      <c r="B20" s="5" t="s">
        <v>343</v>
      </c>
    </row>
    <row r="21" customFormat="false" ht="15" hidden="false" customHeight="false" outlineLevel="0" collapsed="false">
      <c r="A21" s="12" t="n">
        <v>1</v>
      </c>
      <c r="B21" s="22" t="s">
        <v>344</v>
      </c>
    </row>
    <row r="22" customFormat="false" ht="15" hidden="false" customHeight="false" outlineLevel="0" collapsed="false">
      <c r="A22" s="12" t="n">
        <v>3</v>
      </c>
      <c r="B22" s="22" t="s">
        <v>345</v>
      </c>
    </row>
    <row r="23" customFormat="false" ht="15" hidden="false" customHeight="false" outlineLevel="0" collapsed="false">
      <c r="A23" s="12" t="n">
        <v>13</v>
      </c>
      <c r="B23" s="22" t="s">
        <v>346</v>
      </c>
    </row>
    <row r="24" customFormat="false" ht="15" hidden="false" customHeight="false" outlineLevel="0" collapsed="false">
      <c r="A24" s="12" t="n">
        <v>14</v>
      </c>
      <c r="B24" s="22" t="s">
        <v>347</v>
      </c>
    </row>
    <row r="25" customFormat="false" ht="15" hidden="false" customHeight="false" outlineLevel="0" collapsed="false">
      <c r="A25" s="12" t="n">
        <v>17</v>
      </c>
      <c r="B25" s="22" t="s">
        <v>348</v>
      </c>
    </row>
    <row r="26" customFormat="false" ht="15" hidden="false" customHeight="false" outlineLevel="0" collapsed="false">
      <c r="A26" s="12" t="n">
        <v>18</v>
      </c>
      <c r="B26" s="22" t="s">
        <v>349</v>
      </c>
    </row>
    <row r="27" customFormat="false" ht="15" hidden="false" customHeight="false" outlineLevel="0" collapsed="false">
      <c r="A27" s="12" t="n">
        <v>24</v>
      </c>
      <c r="B27" s="22" t="s">
        <v>350</v>
      </c>
    </row>
    <row r="28" customFormat="false" ht="15" hidden="false" customHeight="false" outlineLevel="0" collapsed="false">
      <c r="A28" s="12" t="n">
        <v>25</v>
      </c>
      <c r="B28" s="22" t="s">
        <v>351</v>
      </c>
    </row>
    <row r="29" customFormat="false" ht="15" hidden="false" customHeight="false" outlineLevel="0" collapsed="false">
      <c r="A29" s="12" t="n">
        <v>27</v>
      </c>
      <c r="B29" s="22" t="s">
        <v>352</v>
      </c>
    </row>
    <row r="30" customFormat="false" ht="15" hidden="false" customHeight="false" outlineLevel="0" collapsed="false">
      <c r="A30" s="12" t="n">
        <v>30</v>
      </c>
      <c r="B30" s="22" t="s">
        <v>353</v>
      </c>
    </row>
    <row r="31" customFormat="false" ht="15" hidden="false" customHeight="false" outlineLevel="0" collapsed="false">
      <c r="A31" s="12" t="n">
        <v>32</v>
      </c>
      <c r="B31" s="22" t="s">
        <v>354</v>
      </c>
    </row>
    <row r="32" customFormat="false" ht="15" hidden="false" customHeight="false" outlineLevel="0" collapsed="false">
      <c r="A32" s="12" t="n">
        <v>36</v>
      </c>
      <c r="B32" s="22" t="s">
        <v>355</v>
      </c>
    </row>
    <row r="34" customFormat="false" ht="15" hidden="false" customHeight="false" outlineLevel="0" collapsed="false">
      <c r="A34" s="2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2026-10-21T05:39:25Z</dcterms:created>
  <dc:creator>openpyxl</dc:creator>
  <dc:description/>
  <dc:language>ko-KR</dc:language>
  <cp:lastModifiedBy/>
  <dcterms:modified xsi:type="dcterms:W3CDTF">2026-10-21T05:39:25Z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