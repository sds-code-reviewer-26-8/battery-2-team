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시나리오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sy9169</author>
  </authors>
  <commentList>
    <comment ref="F1" authorId="0">
      <text>
        <r>
          <rPr>
            <sz val="10"/>
            <rFont val="나눔고딕"/>
            <family val="2"/>
          </rPr>
          <t xml:space="preserve">추정치입니다. 화면 동작을 보고 잡은 값이며 실행으로 측정한 값이 아닙니다. 단위: 초</t>
        </r>
      </text>
    </comment>
  </commentList>
</comments>
</file>

<file path=xl/sharedStrings.xml><?xml version="1.0" encoding="utf-8"?>
<sst xmlns="http://schemas.openxmlformats.org/spreadsheetml/2006/main" count="74" uniqueCount="71">
  <si>
    <t xml:space="preserve">No.</t>
  </si>
  <si>
    <t xml:space="preserve">영역</t>
  </si>
  <si>
    <t xml:space="preserve">시나리오</t>
  </si>
  <si>
    <t xml:space="preserve">절차</t>
  </si>
  <si>
    <t xml:space="preserve">목적</t>
  </si>
  <si>
    <t xml:space="preserve">예상시간</t>
  </si>
  <si>
    <t xml:space="preserve">Pass 조건</t>
  </si>
  <si>
    <t xml:space="preserve">담당자</t>
  </si>
  <si>
    <t xml:space="preserve">인증·접근 통제</t>
  </si>
  <si>
    <t xml:space="preserve">로그인 없이, 로그아웃 후 보호 기능 접근 차단</t>
  </si>
  <si>
    <t xml:space="preserve">1. 로그인하지 않은 상태로 /orders, /orders/new, /master 를 차례로 연다.
2. 로그인 없이 POST /api/simulate 를 요청한다.
3. admin / admin 으로 로그인한 뒤 로그아웃하고 /orders 를 다시 연다.</t>
  </si>
  <si>
    <t xml:space="preserve">세션이 없거나 끝난 뒤에는 어떤 화면과 데이터도 열리지 않는지 확인한다.</t>
  </si>
  <si>
    <t xml:space="preserve">1, 3) 로그인 화면(/login)으로 이동하고 주문 정보가 보이지 않는다.
2) HTTP 401 로 거절된다.</t>
  </si>
  <si>
    <t xml:space="preserve">입력 검증</t>
  </si>
  <si>
    <t xml:space="preserve">수량 0, 음수 요청 거절</t>
  </si>
  <si>
    <t xml:space="preserve">1. 로그인한다.
2. 4개 나라 수량을 모두 0으로 POST /api/simulate 를 요청한다.
3. 중국 -5, 일본 100 으로 다시 요청한다.</t>
  </si>
  <si>
    <t xml:space="preserve">잘못된 수량이 계산에 쓰이지 않고 이유와 함께 거절되는지 확인한다.</t>
  </si>
  <si>
    <t xml:space="preserve">2) HTTP 400, 오류 "총 생산 필요 수는 1K 이상이어야 합니다".
3) HTTP 400, 오류 "중국 주문 수량은 0 이상이어야 합니다".
두 경우 모두 3가지 안이 반환되지 않는다.</t>
  </si>
  <si>
    <t xml:space="preserve">총 수량 상한(100,000K) 초과 입력</t>
  </si>
  <si>
    <t xml:space="preserve">1. 로그인 후 주문 추가 화면을 연다.
2. 총 생산 필요 수에 100001 을 입력한다.
3. "시뮬레이션 실행"을 누른다.
4. 총 수량을 12000 으로 되돌려 다시 실행한다.</t>
  </si>
  <si>
    <t xml:space="preserve">상한을 넘는 입력이 거절되고, 이후 화면이 정상으로 이어지는지 확인한다.</t>
  </si>
  <si>
    <t xml:space="preserve">3) "총 생산 필요 수는 100,000K 이하여야 합니다" 오류가 표시되고 시뮬레이션 결과는 나타나지 않는다.
4) 3가지 안이 정상으로 표시된다.</t>
  </si>
  <si>
    <t xml:space="preserve">화면 제한을 우회한 메모 1,001자 확정 요청</t>
  </si>
  <si>
    <t xml:space="preserve">1. 로그인하고 주문 목록의 "전체" 건수를 기록한다.
2. GET /api/master 로 현재 기준값 번호(version)를 읽는다.
3. 메모를 1,001자로 해서 POST /api/orders 확정을 요청한다.
4. 주문 목록을 다시 열어 "전체" 건수를 비교한다.</t>
  </si>
  <si>
    <t xml:space="preserve">화면에서 막는 입력 제한을 우회해도 시스템이 다시 검사하는지 확인한다.</t>
  </si>
  <si>
    <t xml:space="preserve">3) HTTP 400, 오류 "메모는 1000자 이하로 입력하세요".
4) 주문 건수가 늘지 않는다.</t>
  </si>
  <si>
    <t xml:space="preserve">요청 형식</t>
  </si>
  <si>
    <t xml:space="preserve">깨진 요청 뒤에도 앱이 정상 동작</t>
  </si>
  <si>
    <t xml:space="preserve">1. 로그인한다.
2. POST /api/simulate 에 끝나지 않은 JSON ({"orders":) 을 보낸다.
3. 존재하지 않는 나라 이름 ({"orders":{"MARS":100}}) 을 보낸다.
4. 정상 수량으로 다시 시뮬레이션하고 /orders 를 연다.</t>
  </si>
  <si>
    <t xml:space="preserve">비정상 요청이 앱을 멈추게 하거나 내부 정보를 드러내지 않는지 확인한다.</t>
  </si>
  <si>
    <t xml:space="preserve">2, 3) HTTP 400 이고 응답에 서버 내부 정보(trace 등 오류 추적 내용)가 없다.
4) 3가지 안이 정상으로 나오고 /orders 가 열린다.</t>
  </si>
  <si>
    <t xml:space="preserve">기준값(마스터)</t>
  </si>
  <si>
    <t xml:space="preserve">잘못된 기준값은 모두 안내하고 저장하지 않음</t>
  </si>
  <si>
    <t xml:space="preserve">1. 로그인 후 기준값 화면을 열어 현재 배 척수와 운항비를 기록한다.
2. 운항비에 abc 를 입력하고, 중국 하루 최대 생산량과 베트남 셀당 원가 칸을 비운 채 저장한다.
3. 화면 제한을 우회해 shipCount=9 로 POST /master 를 보낸다.
4. 기준값 화면을 새로 열어 값을 다시 본다.</t>
  </si>
  <si>
    <t xml:space="preserve">잘못된 입력이 하나라도 있으면 아무것도 저장되지 않고, 잘못된 곳이 한꺼번에 안내되는지 확인한다.</t>
  </si>
  <si>
    <t xml:space="preserve">2) 오류 목록에 "척당 일 운항비(억 원)는 숫자로 입력하세요", "중국 하루 최대 생산량은(는) 정수로 입력하세요", "베트남 셀당 원가은(는) 정수로 입력하세요"가 함께 표시된다.
3) "배 척수은(는) 1 이상 4 이하의 정수여야 합니다"가 표시된다.
4) 값이 1단계와 같다(저장되지 않음).</t>
  </si>
  <si>
    <t xml:space="preserve">시뮬레이션 뒤 기준값이 바뀌면 확정 거절</t>
  </si>
  <si>
    <t xml:space="preserve">1. 로그인 후 주문 추가 화면에서 시뮬레이션을 실행해 결과를 띄운다.
2. 새 탭에서 기준값 화면을 열어 값을 바꾸지 않고 그대로 저장한다(기준값 번호만 올라감).
3. 처음 탭으로 돌아가 "주문 확정"을 누른다.
4. 주문 목록의 "전체" 건수를 확인한다.</t>
  </si>
  <si>
    <t xml:space="preserve">결과를 본 뒤 기준값이 바뀐 경우 오래된 결과로 주문이 확정되지 않는지 확인한다.</t>
  </si>
  <si>
    <t xml:space="preserve">3) "시뮬레이션 이후 마스터 데이터가 바뀌었습니다. 다시 시뮬레이션해 주세요"가 표시되고 주문 상세로 이동하지 않는다.
4) 주문 건수가 늘지 않는다.</t>
  </si>
  <si>
    <t xml:space="preserve">주문 상태</t>
  </si>
  <si>
    <t xml:space="preserve">허용되지 않는 상태 변경(확정 → 완료) 거절</t>
  </si>
  <si>
    <t xml:space="preserve">1. 로그인 후 시뮬레이션과 확정으로 주문 1건을 만든다(상태 "확정").
2. 주문 상세의 변경 번호(version)를 읽어, 화면 버튼 없이 POST /orders/{id}/status 로 status=COMPLETED 를 보낸다.
3. 주문 상세를 다시 확인한다.</t>
  </si>
  <si>
    <t xml:space="preserve">정해진 순서를 건너뛰는 상태 변경이 화면을 거치지 않아도 거절되는지 확인한다.</t>
  </si>
  <si>
    <t xml:space="preserve">2) 주문 상세로 돌아오고 "확정 상태에서는 완료(으)로 바꿀 수 없습니다"가 표시된다.
3) 상태는 여전히 "확정"이고 변경 이력은 1건(확정)이다.</t>
  </si>
  <si>
    <t xml:space="preserve">동시성</t>
  </si>
  <si>
    <t xml:space="preserve">두 탭에서 같은 주문을 동시에 변경</t>
  </si>
  <si>
    <t xml:space="preserve">1. 로그인 후 주문 1건을 만든다(상태 "확정").
2. 같은 주문 상세를 탭 A, 탭 B 두 곳에 연다.
3. 탭 A 에서 "진행(으)로 변경"을 누른다.
4. 탭 B(새로 고치지 않은 화면)에서 "취소(으)로 변경"을 누르고 확인 창에서 동의한다.</t>
  </si>
  <si>
    <t xml:space="preserve">오래된 화면으로 같은 주문을 바꾸려 할 때 먼저 바꾼 쪽만 적용되는지 확인한다.</t>
  </si>
  <si>
    <t xml:space="preserve">4) "다른 사용자가 먼저 이 주문을 변경했습니다. 화면을 새로 고쳐 현재 상태를 확인한 뒤 다시 시도해 주세요"가 표시된다.
주문은 삭제되지 않고 상태가 "진행"이며 변경 이력은 2건(확정, 진행)이다.</t>
  </si>
  <si>
    <t xml:space="preserve">오류 처리</t>
  </si>
  <si>
    <t xml:space="preserve">존재하지 않는 주문 번호 접근</t>
  </si>
  <si>
    <t xml:space="preserve">1. 로그인한다.
2. /orders/999999 를 연다.
3. 화면의 메뉴로 /orders 를 연다.</t>
  </si>
  <si>
    <t xml:space="preserve">없는 주문을 열어도 오류 화면에 갇히지 않고 안내와 함께 계속 쓸 수 있는지 확인한다.</t>
  </si>
  <si>
    <t xml:space="preserve">2) 오류 화면(HTTP 500)이 아니라 "주문을 찾을 수 없습니다" 같은 안내가 표시되고 메뉴를 쓸 수 있다.
3) 주문 목록이 정상으로 열린다.</t>
  </si>
  <si>
    <t xml:space="preserve">요약</t>
  </si>
  <si>
    <t xml:space="preserve">시나리오 수</t>
  </si>
  <si>
    <t xml:space="preserve">최대 예상시간</t>
  </si>
  <si>
    <t xml:space="preserve">예상시간 합계</t>
  </si>
  <si>
    <t xml:space="preserve">시나리오당 기준</t>
  </si>
  <si>
    <t xml:space="preserve">요구사항: 각 시나리오는 20초 이내 (입력값)</t>
  </si>
  <si>
    <t xml:space="preserve">기준 충족 여부</t>
  </si>
  <si>
    <t xml:space="preserve">참고 (가정과 주의)</t>
  </si>
  <si>
    <t xml:space="preserve">· 예상시간은 화면 동작을 보고 잡은 추정치이며 실행으로 측정한 값이 아닙니다. Playwright 로 실행한 뒤 갱신하세요.</t>
  </si>
  <si>
    <t xml:space="preserve">· 대상: 이미 실행 중인 앱(기본 http://localhost:8080). 로그인 계정 admin / admin.</t>
  </si>
  <si>
    <t xml:space="preserve">· Pass 조건의 응답 코드와 문구는 2026-10-21 에 실행 중인 앱에 요청해 확인한 값입니다. (시나리오 1~7, 10) 시나리오 8, 9 의 문구는 소스에서 확인했고 실행하지는 않았습니다.</t>
  </si>
  <si>
    <t xml:space="preserve">· 시나리오 8, 9 는 주문을 1건씩 만들고, 시나리오 7 은 기준값 번호를 올립니다. 파일 DB 에 데이터가 남습니다.</t>
  </si>
  <si>
    <t xml:space="preserve">· 시나리오 5 는 현재 응답에 서버 내부 정보(trace)가 포함되는 것을 확인했습니다. 지금 실행하면 Fail 이 예상됩니다.</t>
  </si>
  <si>
    <t xml:space="preserve">· 시나리오 10 은 현재 HTTP 500 오류 화면이 나오는 것을 확인했습니다. 지금 실행하면 Fail 이 예상됩니다. (취소 직후 오류와 같은 원인으로 보입니다)</t>
  </si>
  <si>
    <t xml:space="preserve">· 시나리오 2, 4, 5 는 화면에 입력칸이 없어 API 요청(Playwright 의 request)으로 수행합니다. 시나리오 8 의 2단계도 같은 방식입니다.</t>
  </si>
  <si>
    <t xml:space="preserve">· 담당자 열은 비워 두었습니다.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</si>
</sst>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초"/>
    <numFmt numFmtId="166" formatCode="0\개"/>
  </numFmts>
  <fonts count="11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0"/>
      <name val="맑은 고딕"/>
      <family val="0"/>
      <charset val="1"/>
    </font>
    <font>
      <i val="true"/>
      <sz val="9"/>
      <color rgb="FF5B6675"/>
      <name val="맑은 고딕"/>
      <family val="0"/>
      <charset val="1"/>
    </font>
    <font>
      <sz val="9"/>
      <color rgb="FF3A4452"/>
      <name val="맑은 고딕"/>
      <family val="0"/>
      <charset val="1"/>
    </font>
    <font>
      <sz val="10"/>
      <name val="나눔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A445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DC6"/>
      </left>
      <right style="thin">
        <color rgb="FFB7BDC6"/>
      </right>
      <top style="thin">
        <color rgb="FFB7BDC6"/>
      </top>
      <bottom style="thin">
        <color rgb="FFB7BD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맑은 고딕"/>
        <charset val="1"/>
        <family val="0"/>
        <b val="1"/>
        <color rgb="FFB42318"/>
      </font>
      <fill>
        <patternFill>
          <bgColor rgb="FFFD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DC6"/>
      <rgbColor rgb="FF808080"/>
      <rgbColor rgb="FF9999FF"/>
      <rgbColor rgb="FF993366"/>
      <rgbColor rgb="FFFDE8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1F3A5F"/>
      <rgbColor rgb="FF339966"/>
      <rgbColor rgb="FF003300"/>
      <rgbColor rgb="FF333300"/>
      <rgbColor rgb="FFB42318"/>
      <rgbColor rgb="FF993366"/>
      <rgbColor rgb="FF333399"/>
      <rgbColor rgb="FF3A44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.02"/>
    <col collapsed="false" customWidth="true" hidden="false" outlineLevel="0" max="3" min="3" style="0" width="28.01"/>
    <col collapsed="false" customWidth="true" hidden="false" outlineLevel="0" max="4" min="4" style="0" width="56.04"/>
    <col collapsed="false" customWidth="true" hidden="false" outlineLevel="0" max="5" min="5" style="0" width="34.02"/>
    <col collapsed="false" customWidth="true" hidden="false" outlineLevel="0" max="6" min="6" style="0" width="10.01"/>
    <col collapsed="false" customWidth="true" hidden="false" outlineLevel="0" max="7" min="7" style="0" width="54.04"/>
    <col collapsed="false" customWidth="true" hidden="false" outlineLevel="0" max="8" min="8" style="0" width="12.01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78" hidden="false" customHeight="true" outlineLevel="0" collapsed="false">
      <c r="A2" s="2" t="n">
        <v>1</v>
      </c>
      <c r="B2" s="3" t="s">
        <v>8</v>
      </c>
      <c r="C2" s="4" t="s">
        <v>9</v>
      </c>
      <c r="D2" s="4" t="s">
        <v>10</v>
      </c>
      <c r="E2" s="4" t="s">
        <v>11</v>
      </c>
      <c r="F2" s="5" t="n">
        <v>8</v>
      </c>
      <c r="G2" s="4" t="s">
        <v>12</v>
      </c>
      <c r="H2" s="3"/>
    </row>
    <row r="3" customFormat="false" ht="63.75" hidden="false" customHeight="true" outlineLevel="0" collapsed="false">
      <c r="A3" s="2" t="n">
        <v>2</v>
      </c>
      <c r="B3" s="3" t="s">
        <v>13</v>
      </c>
      <c r="C3" s="4" t="s">
        <v>14</v>
      </c>
      <c r="D3" s="4" t="s">
        <v>15</v>
      </c>
      <c r="E3" s="4" t="s">
        <v>16</v>
      </c>
      <c r="F3" s="5" t="n">
        <v>6</v>
      </c>
      <c r="G3" s="4" t="s">
        <v>17</v>
      </c>
      <c r="H3" s="3"/>
    </row>
    <row r="4" customFormat="false" ht="63.75" hidden="false" customHeight="true" outlineLevel="0" collapsed="false">
      <c r="A4" s="2" t="n">
        <v>3</v>
      </c>
      <c r="B4" s="3" t="s">
        <v>13</v>
      </c>
      <c r="C4" s="4" t="s">
        <v>18</v>
      </c>
      <c r="D4" s="4" t="s">
        <v>19</v>
      </c>
      <c r="E4" s="4" t="s">
        <v>20</v>
      </c>
      <c r="F4" s="5" t="n">
        <v>10</v>
      </c>
      <c r="G4" s="4" t="s">
        <v>21</v>
      </c>
      <c r="H4" s="3"/>
    </row>
    <row r="5" customFormat="false" ht="63.75" hidden="false" customHeight="true" outlineLevel="0" collapsed="false">
      <c r="A5" s="2" t="n">
        <v>4</v>
      </c>
      <c r="B5" s="3" t="s">
        <v>13</v>
      </c>
      <c r="C5" s="4" t="s">
        <v>22</v>
      </c>
      <c r="D5" s="4" t="s">
        <v>23</v>
      </c>
      <c r="E5" s="4" t="s">
        <v>24</v>
      </c>
      <c r="F5" s="5" t="n">
        <v>8</v>
      </c>
      <c r="G5" s="4" t="s">
        <v>25</v>
      </c>
      <c r="H5" s="3"/>
    </row>
    <row r="6" customFormat="false" ht="93" hidden="false" customHeight="true" outlineLevel="0" collapsed="false">
      <c r="A6" s="2" t="n">
        <v>5</v>
      </c>
      <c r="B6" s="3" t="s">
        <v>26</v>
      </c>
      <c r="C6" s="4" t="s">
        <v>27</v>
      </c>
      <c r="D6" s="4" t="s">
        <v>28</v>
      </c>
      <c r="E6" s="4" t="s">
        <v>29</v>
      </c>
      <c r="F6" s="5" t="n">
        <v>7</v>
      </c>
      <c r="G6" s="4" t="s">
        <v>30</v>
      </c>
      <c r="H6" s="3"/>
    </row>
    <row r="7" customFormat="false" ht="107.25" hidden="false" customHeight="true" outlineLevel="0" collapsed="false">
      <c r="A7" s="2" t="n">
        <v>6</v>
      </c>
      <c r="B7" s="3" t="s">
        <v>31</v>
      </c>
      <c r="C7" s="4" t="s">
        <v>32</v>
      </c>
      <c r="D7" s="4" t="s">
        <v>33</v>
      </c>
      <c r="E7" s="4" t="s">
        <v>34</v>
      </c>
      <c r="F7" s="5" t="n">
        <v>14</v>
      </c>
      <c r="G7" s="4" t="s">
        <v>35</v>
      </c>
      <c r="H7" s="3"/>
    </row>
    <row r="8" customFormat="false" ht="93" hidden="false" customHeight="true" outlineLevel="0" collapsed="false">
      <c r="A8" s="2" t="n">
        <v>7</v>
      </c>
      <c r="B8" s="3" t="s">
        <v>31</v>
      </c>
      <c r="C8" s="4" t="s">
        <v>36</v>
      </c>
      <c r="D8" s="4" t="s">
        <v>37</v>
      </c>
      <c r="E8" s="4" t="s">
        <v>38</v>
      </c>
      <c r="F8" s="5" t="n">
        <v>16</v>
      </c>
      <c r="G8" s="4" t="s">
        <v>39</v>
      </c>
      <c r="H8" s="3"/>
    </row>
    <row r="9" customFormat="false" ht="78" hidden="false" customHeight="true" outlineLevel="0" collapsed="false">
      <c r="A9" s="2" t="n">
        <v>8</v>
      </c>
      <c r="B9" s="3" t="s">
        <v>40</v>
      </c>
      <c r="C9" s="4" t="s">
        <v>41</v>
      </c>
      <c r="D9" s="4" t="s">
        <v>42</v>
      </c>
      <c r="E9" s="4" t="s">
        <v>43</v>
      </c>
      <c r="F9" s="5" t="n">
        <v>18</v>
      </c>
      <c r="G9" s="4" t="s">
        <v>44</v>
      </c>
      <c r="H9" s="3"/>
    </row>
    <row r="10" customFormat="false" ht="78" hidden="false" customHeight="true" outlineLevel="0" collapsed="false">
      <c r="A10" s="2" t="n">
        <v>9</v>
      </c>
      <c r="B10" s="3" t="s">
        <v>45</v>
      </c>
      <c r="C10" s="4" t="s">
        <v>46</v>
      </c>
      <c r="D10" s="4" t="s">
        <v>47</v>
      </c>
      <c r="E10" s="4" t="s">
        <v>48</v>
      </c>
      <c r="F10" s="5" t="n">
        <v>19</v>
      </c>
      <c r="G10" s="4" t="s">
        <v>49</v>
      </c>
      <c r="H10" s="3"/>
    </row>
    <row r="11" customFormat="false" ht="49.5" hidden="false" customHeight="true" outlineLevel="0" collapsed="false">
      <c r="A11" s="2" t="n">
        <v>10</v>
      </c>
      <c r="B11" s="3" t="s">
        <v>50</v>
      </c>
      <c r="C11" s="4" t="s">
        <v>51</v>
      </c>
      <c r="D11" s="4" t="s">
        <v>52</v>
      </c>
      <c r="E11" s="4" t="s">
        <v>53</v>
      </c>
      <c r="F11" s="5" t="n">
        <v>6</v>
      </c>
      <c r="G11" s="4" t="s">
        <v>54</v>
      </c>
      <c r="H11" s="3"/>
    </row>
    <row r="13" customFormat="false" ht="15" hidden="false" customHeight="false" outlineLevel="0" collapsed="false">
      <c r="E13" s="6" t="s">
        <v>55</v>
      </c>
    </row>
    <row r="14" customFormat="false" ht="15" hidden="false" customHeight="false" outlineLevel="0" collapsed="false">
      <c r="E14" s="7" t="s">
        <v>56</v>
      </c>
      <c r="F14" s="8" t="n">
        <f aca="false">COUNTA(A2:A11)</f>
        <v>10</v>
      </c>
    </row>
    <row r="15" customFormat="false" ht="15" hidden="false" customHeight="false" outlineLevel="0" collapsed="false">
      <c r="E15" s="7" t="s">
        <v>57</v>
      </c>
      <c r="F15" s="9" t="n">
        <f aca="false">MAX(F2:F11)</f>
        <v>19</v>
      </c>
    </row>
    <row r="16" customFormat="false" ht="15" hidden="false" customHeight="false" outlineLevel="0" collapsed="false">
      <c r="E16" s="7" t="s">
        <v>58</v>
      </c>
      <c r="F16" s="9" t="n">
        <f aca="false">SUM(F2:F11)</f>
        <v>112</v>
      </c>
    </row>
    <row r="17" customFormat="false" ht="15" hidden="false" customHeight="false" outlineLevel="0" collapsed="false">
      <c r="E17" s="7" t="s">
        <v>59</v>
      </c>
      <c r="F17" s="10" t="n">
        <v>20</v>
      </c>
      <c r="G17" s="11" t="s">
        <v>60</v>
      </c>
    </row>
    <row r="18" customFormat="false" ht="15" hidden="false" customHeight="false" outlineLevel="0" collapsed="false">
      <c r="E18" s="7" t="s">
        <v>61</v>
      </c>
      <c r="F18" s="12" t="str">
        <f aca="false">IF(F15&lt;=F17,"충족","초과")</f>
        <v>충족</v>
      </c>
    </row>
    <row r="20" customFormat="false" ht="15" hidden="false" customHeight="false" outlineLevel="0" collapsed="false">
      <c r="A20" s="6" t="s">
        <v>62</v>
      </c>
    </row>
    <row r="21" customFormat="false" ht="15" hidden="false" customHeight="false" outlineLevel="0" collapsed="false">
      <c r="A21" s="13" t="s">
        <v>63</v>
      </c>
    </row>
    <row r="22" customFormat="false" ht="15" hidden="false" customHeight="false" outlineLevel="0" collapsed="false">
      <c r="A22" s="13" t="s">
        <v>64</v>
      </c>
    </row>
    <row r="23" customFormat="false" ht="15" hidden="false" customHeight="false" outlineLevel="0" collapsed="false">
      <c r="A23" s="13" t="s">
        <v>65</v>
      </c>
    </row>
    <row r="24" customFormat="false" ht="15" hidden="false" customHeight="false" outlineLevel="0" collapsed="false">
      <c r="A24" s="13" t="s">
        <v>66</v>
      </c>
    </row>
    <row r="25" customFormat="false" ht="15" hidden="false" customHeight="false" outlineLevel="0" collapsed="false">
      <c r="A25" s="13" t="s">
        <v>67</v>
      </c>
    </row>
    <row r="26" customFormat="false" ht="15" hidden="false" customHeight="false" outlineLevel="0" collapsed="false">
      <c r="A26" s="13" t="s">
        <v>68</v>
      </c>
    </row>
    <row r="27" customFormat="false" ht="15" hidden="false" customHeight="false" outlineLevel="0" collapsed="false">
      <c r="A27" s="13" t="s">
        <v>69</v>
      </c>
    </row>
    <row r="28" customFormat="false" ht="15" hidden="false" customHeight="false" outlineLevel="0" collapsed="false">
      <c r="A28" s="13" t="s">
        <v>70</v>
      </c>
    </row>
  </sheetData>
  <conditionalFormatting sqref="F2:F11">
    <cfRule type="cellIs" priority="2" operator="greaterThan" aboveAverage="0" equalAverage="0" bottom="0" percent="0" rank="0" text="" dxfId="0">
      <formula>$F$17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2026-10-21T05:08:28Z</dcterms:created>
  <dc:creator>openpyxl</dc:creator>
  <dc:description/>
  <dc:language>ko-KR</dc:language>
  <cp:lastModifiedBy/>
  <dcterms:modified xsi:type="dcterms:W3CDTF">2026-10-21T05:08:28Z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