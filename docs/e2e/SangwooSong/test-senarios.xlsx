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시나리오" sheetId="1" state="visible" r:id="rId3"/>
    <sheet name="요약" sheetId="2" state="visible" r:id="rId4"/>
    <sheet name="안내" sheetId="3" state="visible" r:id="rId5"/>
  </sheets>
  <definedNames>
    <definedName function="false" hidden="true" localSheetId="0" name="_xlnm._FilterDatabase" vbProcedure="false">시나리오!$A$4:$H$14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<sst xmlns="http://schemas.openxmlformats.org/spreadsheetml/2006/main" count="114" uniqueCount="99">
  <si>
    <t xml:space="preserve">배터리 주문 관리 — E2E 테스트 시나리오 (SangwooSong)</t>
  </si>
  <si>
    <t xml:space="preserve">작성: SangwooSong · 노란 칸(담당자)은 역할 배분 때 채웁니다. 예상시간은 '초' 단위(시나리오 1건당 20초 이내 목표)입니다. 작성 기준은 '안내' 시트를 참고하세요.</t>
  </si>
  <si>
    <t xml:space="preserve">No.</t>
  </si>
  <si>
    <t xml:space="preserve">영역</t>
  </si>
  <si>
    <t xml:space="preserve">시나리오</t>
  </si>
  <si>
    <t xml:space="preserve">절차</t>
  </si>
  <si>
    <t xml:space="preserve">목적</t>
  </si>
  <si>
    <t xml:space="preserve">예상시간</t>
  </si>
  <si>
    <t xml:space="preserve">Pass 조건</t>
  </si>
  <si>
    <t xml:space="preserve">담당자</t>
  </si>
  <si>
    <t xml:space="preserve">로그인</t>
  </si>
  <si>
    <t xml:space="preserve">올바른 계정으로 로그인</t>
  </si>
  <si>
    <t xml:space="preserve">[사전 조건] 로그아웃 상태
1. /login 접속
2. 아이디 admin, 비밀번호 admin 입력
3. 로그인 클릭</t>
  </si>
  <si>
    <t xml:space="preserve">올바른 계정으로 로그인하면 주문 목록으로 진입하는지 확인</t>
  </si>
  <si>
    <t xml:space="preserve">- /orders 로 이동
- '주문 목록' 제목과 '주문 추가' 버튼 표시
- 상단에 사용자명 'admin' 과 '로그아웃' 버튼 표시</t>
  </si>
  <si>
    <t xml:space="preserve">잘못된 비밀번호로 로그인 실패</t>
  </si>
  <si>
    <t xml:space="preserve">[사전 조건] 로그아웃 상태
1. /login 접속
2. 아이디 admin, 비밀번호는 틀린 값 입력
3. 로그인 클릭</t>
  </si>
  <si>
    <t xml:space="preserve">잘못된 계정 정보로는 진입할 수 없고 이유가 안내되는지 확인</t>
  </si>
  <si>
    <t xml:space="preserve">- 로그인 화면 유지 (주소에 ;jsessionid=… 가 붙는 것은 허용)
- '아이디 또는 비밀번호가 올바르지 않습니다' 표시
- /orders 로 이동하지 않음</t>
  </si>
  <si>
    <t xml:space="preserve">비로그인 상태의 화면·API 접근 차단</t>
  </si>
  <si>
    <t xml:space="preserve">[사전 조건] 로그아웃 상태(새 브라우저 컨텍스트)
1. /orders 접속
2. 같은 컨텍스트에서 POST /api/simulate 요청 (본문 {})</t>
  </si>
  <si>
    <t xml:space="preserve">로그인하지 않은 사용자가 화면과 데이터 요청 모두 막히는지 확인</t>
  </si>
  <si>
    <t xml:space="preserve">- /orders 접속 시 /login 으로 이동
- POST /api/simulate 응답 상태가 401</t>
  </si>
  <si>
    <t xml:space="preserve">주문 목록</t>
  </si>
  <si>
    <t xml:space="preserve">목록 화면 구성과 주문 추가로 이동</t>
  </si>
  <si>
    <t xml:space="preserve">[사전 조건] 로그인 상태
1. /orders 접속
2. '주문 추가' 버튼 클릭</t>
  </si>
  <si>
    <t xml:space="preserve">상태 필터가 구성되어 있고 새 주문 화면으로 이동할 수 있는지 확인</t>
  </si>
  <si>
    <t xml:space="preserve">- 필터 칩 '전체', '확정', '진행', '완료', '취소' 가 보이고 각각 건수(숫자) 표시
- 버튼 클릭 후 URL이 /orders/new, '주문 추가' 제목 표시</t>
  </si>
  <si>
    <t xml:space="preserve">주문 추가·시뮬레이션</t>
  </si>
  <si>
    <t xml:space="preserve">기본 수량(12,000K)으로 시뮬레이션</t>
  </si>
  <si>
    <t xml:space="preserve">[사전 조건] 로그인 상태, 기본 마스터 데이터
1. /orders/new 접속
2. 값을 바꾸지 않고 '시뮬레이션 실행' 클릭</t>
  </si>
  <si>
    <t xml:space="preserve">기본 입력으로 3가지 경로안이 계산·표시되는지 확인</t>
  </si>
  <si>
    <t xml:space="preserve">- 초기값: 총 생산 필요 수 12,000K, 4개국 각 3,000K
- 경로안 3개: 운항비 최소 / 가장 빠르게 / 가까운 곳부터 (각각 '소요 N일', '총 비용 N억원' 표시)
- 기본 선택은 '운항비 최소'
- 필요 방문 횟수: 일본 2회, 중국·베트남·인도네시아 각 1회</t>
  </si>
  <si>
    <t xml:space="preserve">수량 게이지 연동</t>
  </si>
  <si>
    <t xml:space="preserve">[사전 조건] 기본값 12,000K (각 3,000K)
1. /orders/new 접속
2. 중국 수량 입력칸에 4000 입력</t>
  </si>
  <si>
    <t xml:space="preserve">한 나라 수량을 바꾸면 오른쪽 나라가 반대로 조정되고 합계가 유지되는지 확인</t>
  </si>
  <si>
    <t xml:space="preserve">- 중국 4,000K, 일본 2,000K (오른쪽 나라가 반대로 조정)
- 베트남·인도네시아는 3,000K 그대로
- 네 나라 합계 12,000K 유지</t>
  </si>
  <si>
    <t xml:space="preserve">총 수량 상한(100,000K) 초과 오류</t>
  </si>
  <si>
    <t xml:space="preserve">[사전 조건] /orders/new 화면
1. 총 생산 필요 수에 100001 입력
2. '시뮬레이션 실행' 클릭</t>
  </si>
  <si>
    <t xml:space="preserve">허용 범위를 넘는 입력이 이유와 함께 거절되는지 확인</t>
  </si>
  <si>
    <t xml:space="preserve">- '총 생산 필요 수는 100,000K 이하여야 합니다' 오류 표시
- 시뮬레이션 결과 영역 미표시
- 주문이 생성되지 않음 (주문 목록 건수 불변)</t>
  </si>
  <si>
    <t xml:space="preserve">주문 확정</t>
  </si>
  <si>
    <t xml:space="preserve">경로안 선택 후 메모와 함께 확정</t>
  </si>
  <si>
    <t xml:space="preserve">[사전 조건] 로그인 상태
1. /orders/new 에서 시뮬레이션 실행
2. '가장 빠르게' 선택
3. 메모에 'e2e 확정 테스트' 입력
4. '주문 확정' 클릭</t>
  </si>
  <si>
    <t xml:space="preserve">선택한 안이 메모와 함께 저장되고 상세 화면으로 이동하는지 확인 (주문 1건 생성됨)</t>
  </si>
  <si>
    <t xml:space="preserve">- /orders/{id} 상세로 이동
- 상태 '확정', 경로 '가장 빠르게', 메모 'e2e 확정 테스트', 작성자 admin
- 상태 이력 1건 (이전 '-' → '확정')</t>
  </si>
  <si>
    <t xml:space="preserve">주문 상태</t>
  </si>
  <si>
    <t xml:space="preserve">확정 → 진행 변경</t>
  </si>
  <si>
    <t xml:space="preserve">[사전 조건] 확정 상태 주문 1건 (POST /api/orders 로 생성) 의 상세 화면
1. '진행(으)로 변경' 클릭
2. 확인창 '진행(으)로 바꿉니다. 계속할까요?' 수락</t>
  </si>
  <si>
    <t xml:space="preserve">허용된 상태 변경이 반영되고 이력이 남으며 다음에 가능한 버튼만 보이는지 확인 (주문 1건 생성됨)</t>
  </si>
  <si>
    <t xml:space="preserve">- "상태를 '진행'(으)로 바꿨습니다" 메시지
- 상태 배지 '진행'
- 상태 이력 2건 (확정 → 진행 추가)
- 변경 버튼은 '완료(으)로 변경', '취소(으)로 변경' 두 개만 표시</t>
  </si>
  <si>
    <t xml:space="preserve">마스터 데이터</t>
  </si>
  <si>
    <t xml:space="preserve">빈 값 저장 거부</t>
  </si>
  <si>
    <t xml:space="preserve">[사전 조건] /master 화면
1. 중국 재고 상한을 비움
2. '저장' 클릭
3. /master 다시 접속</t>
  </si>
  <si>
    <t xml:space="preserve">잘못된 입력이 이유와 함께 거부되고 저장되지 않는지 확인</t>
  </si>
  <si>
    <t xml:space="preserve">- '저장하지 않았습니다. 아래 값을 확인하세요.' 와 오류 사유 표시 (예: '중국 재고 상한은(는) 정수로 입력하세요')
- 다시 접속하면 기존 값 유지 (저장되지 않음)</t>
  </si>
  <si>
    <t xml:space="preserve">시나리오 현황 요약</t>
  </si>
  <si>
    <t xml:space="preserve">'시나리오' 시트의 값으로 자동 계산됩니다(수식). 예상시간은 초 단위입니다.</t>
  </si>
  <si>
    <t xml:space="preserve">영역별</t>
  </si>
  <si>
    <t xml:space="preserve">건수</t>
  </si>
  <si>
    <t xml:space="preserve">예상시간(초)</t>
  </si>
  <si>
    <t xml:space="preserve">배정 건수</t>
  </si>
  <si>
    <t xml:space="preserve">미배정 건수</t>
  </si>
  <si>
    <t xml:space="preserve">합계</t>
  </si>
  <si>
    <t xml:space="preserve">예상시간 점검</t>
  </si>
  <si>
    <t xml:space="preserve">최대 예상시간(초)</t>
  </si>
  <si>
    <t xml:space="preserve">20초 이내 기준</t>
  </si>
  <si>
    <t xml:space="preserve">담당자별 (이름을 노란 칸에 입력하면 자동 계산)</t>
  </si>
  <si>
    <t xml:space="preserve">안내 — 작성 기준과 가정</t>
  </si>
  <si>
    <t xml:space="preserve">작성 기준</t>
  </si>
  <si>
    <t xml:space="preserve">범위</t>
  </si>
  <si>
    <t xml:space="preserve">브라우저에서 사용자가 하는 주요 흐름(로그인, 주문 입력·시뮬레이션, 확정, 목록, 상태 변경, 기준 정보) 중 핵심 10건만 골랐다. 시나리오별 실행이 20초를 넘지 않도록 구성했다.</t>
  </si>
  <si>
    <t xml:space="preserve">열 구성</t>
  </si>
  <si>
    <t xml:space="preserve">팀 시나리오 시트와 같은 열(No. / 영역 / 시나리오 / 절차 / 목적 / 예상시간 / Pass 조건 / 담당자). 절차: 첫 줄 [사전 조건]과 번호 단계 / Pass 조건: 모두 만족해야 통과 / 담당자: 역할 배분 때 채움.</t>
  </si>
  <si>
    <t xml:space="preserve">초 단위. 해당 시나리오의 Playwright 테스트 1건이 실행되어 끝나는 데 걸리는 예상 시간이며 모두 20초 이내다(작성자 추정, 실행 측정값 아님). ※ 팀 시나리오 시트의 예상시간은 '분' 단위(구현·확인 시간)라서 값을 합칠 때 단위를 맞춰야 한다.</t>
  </si>
  <si>
    <t xml:space="preserve">근거</t>
  </si>
  <si>
    <t xml:space="preserve">화면 템플릿과 JS, 서비스 코드를 읽고 실제 문구·동작을 기준으로 작성했고, 팀 시나리오 시트 '안내'의 실행 확인 사실(브라우저 min/max 검증, 로그인 실패 주소 등)을 반영했다.</t>
  </si>
  <si>
    <t xml:space="preserve">전제 및 가정</t>
  </si>
  <si>
    <t xml:space="preserve">대상 서버</t>
  </si>
  <si>
    <t xml:space="preserve">이미 실행 중인 서버(기본 http://localhost:8080, 환경변수 BASE_URL 로 변경)로 테스트한다. 팀 시트는 8081 포트·인메모리 DB 를 자동 기동하는 설정을 가정하므로 서로 다르다.</t>
  </si>
  <si>
    <t xml:space="preserve">계정</t>
  </si>
  <si>
    <t xml:space="preserve">admin / admin (AppController 의 고정 계정).</t>
  </si>
  <si>
    <t xml:space="preserve">기준값</t>
  </si>
  <si>
    <t xml:space="preserve">수량·방문 횟수 기대값은 기본 마스터 값 기준이다. 마스터를 바꾸면 시나리오 5, 6 의 기대값이 달라진다.</t>
  </si>
  <si>
    <t xml:space="preserve">데이터 영향</t>
  </si>
  <si>
    <t xml:space="preserve">시나리오 8, 9 는 주문을 1건씩 생성한다. 나머지는 데이터를 남기지 않는다(마스터 시나리오도 저장되지 않는 입력만 사용).</t>
  </si>
  <si>
    <t xml:space="preserve">제외한 것</t>
  </si>
  <si>
    <t xml:space="preserve">주문 취소 시나리오는 취소 시 주문이 삭제되는 동작의 의도가 확정되지 않아 제외했다(팀 시트 안내의 '확인 필요 — 취소 동작'과 같은 이유).</t>
  </si>
  <si>
    <t xml:space="preserve">팀 No. 대응</t>
  </si>
  <si>
    <t xml:space="preserve">팀 No. 3 (AUTH-02)</t>
  </si>
  <si>
    <t xml:space="preserve">팀 No. 4 (AUTH-03)</t>
  </si>
  <si>
    <t xml:space="preserve">팀 No. 2 (AUTH-01) — API 401 확인은 이 시트에만 있음</t>
  </si>
  <si>
    <t xml:space="preserve">팀 No. 27 (LST-01)</t>
  </si>
  <si>
    <t xml:space="preserve">팀 No. 9 (SIM-01)</t>
  </si>
  <si>
    <t xml:space="preserve">팀 No. 11 (SIM-03)</t>
  </si>
  <si>
    <t xml:space="preserve">팀 No. 17 (SIM-09)</t>
  </si>
  <si>
    <t xml:space="preserve">팀 No. 20 (ORD-01)</t>
  </si>
  <si>
    <t xml:space="preserve">팀 No. 34 (STS-02)</t>
  </si>
  <si>
    <t xml:space="preserve">팀 No. 44 (MST-03) — 이 시트는 1개 항목만 비우는 축소판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</si>
</sst>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초"/>
  </numFmts>
  <fonts count="9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algun Gothic"/>
      <family val="0"/>
      <charset val="1"/>
    </font>
    <font>
      <sz val="9"/>
      <color rgb="FF595959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52"/>
    <col collapsed="false" customWidth="true" hidden="false" outlineLevel="0" max="2" min="2" style="0" width="16.53"/>
    <col collapsed="false" customWidth="true" hidden="false" outlineLevel="0" max="3" min="3" style="0" width="33.08"/>
    <col collapsed="false" customWidth="true" hidden="false" outlineLevel="0" max="4" min="4" style="0" width="47.78"/>
    <col collapsed="false" customWidth="true" hidden="false" outlineLevel="0" max="5" min="5" style="0" width="36.75"/>
    <col collapsed="false" customWidth="true" hidden="false" outlineLevel="0" max="6" min="6" style="0" width="9.18"/>
    <col collapsed="false" customWidth="true" hidden="false" outlineLevel="0" max="7" min="7" style="0" width="53.29"/>
    <col collapsed="false" customWidth="true" hidden="false" outlineLevel="0" max="8" min="8" style="0" width="11.03"/>
  </cols>
  <sheetData>
    <row r="1" customFormat="false" ht="20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61.5" hidden="false" customHeight="true" outlineLevel="0" collapsed="false">
      <c r="A5" s="4" t="n">
        <v>1</v>
      </c>
      <c r="B5" s="5" t="s">
        <v>10</v>
      </c>
      <c r="C5" s="6" t="s">
        <v>11</v>
      </c>
      <c r="D5" s="5" t="s">
        <v>12</v>
      </c>
      <c r="E5" s="5" t="s">
        <v>13</v>
      </c>
      <c r="F5" s="7" t="n">
        <v>5</v>
      </c>
      <c r="G5" s="5" t="s">
        <v>14</v>
      </c>
      <c r="H5" s="8"/>
    </row>
    <row r="6" customFormat="false" ht="75" hidden="false" customHeight="true" outlineLevel="0" collapsed="false">
      <c r="A6" s="9" t="n">
        <v>2</v>
      </c>
      <c r="B6" s="10" t="s">
        <v>10</v>
      </c>
      <c r="C6" s="11" t="s">
        <v>15</v>
      </c>
      <c r="D6" s="10" t="s">
        <v>16</v>
      </c>
      <c r="E6" s="10" t="s">
        <v>17</v>
      </c>
      <c r="F6" s="12" t="n">
        <v>5</v>
      </c>
      <c r="G6" s="10" t="s">
        <v>18</v>
      </c>
      <c r="H6" s="8"/>
    </row>
    <row r="7" customFormat="false" ht="75" hidden="false" customHeight="true" outlineLevel="0" collapsed="false">
      <c r="A7" s="4" t="n">
        <v>3</v>
      </c>
      <c r="B7" s="5" t="s">
        <v>10</v>
      </c>
      <c r="C7" s="6" t="s">
        <v>19</v>
      </c>
      <c r="D7" s="5" t="s">
        <v>20</v>
      </c>
      <c r="E7" s="5" t="s">
        <v>21</v>
      </c>
      <c r="F7" s="7" t="n">
        <v>5</v>
      </c>
      <c r="G7" s="5" t="s">
        <v>22</v>
      </c>
      <c r="H7" s="8"/>
    </row>
    <row r="8" customFormat="false" ht="61.5" hidden="false" customHeight="true" outlineLevel="0" collapsed="false">
      <c r="A8" s="9" t="n">
        <v>4</v>
      </c>
      <c r="B8" s="10" t="s">
        <v>23</v>
      </c>
      <c r="C8" s="11" t="s">
        <v>24</v>
      </c>
      <c r="D8" s="10" t="s">
        <v>25</v>
      </c>
      <c r="E8" s="10" t="s">
        <v>26</v>
      </c>
      <c r="F8" s="12" t="n">
        <v>6</v>
      </c>
      <c r="G8" s="10" t="s">
        <v>27</v>
      </c>
      <c r="H8" s="8"/>
    </row>
    <row r="9" customFormat="false" ht="115.5" hidden="false" customHeight="true" outlineLevel="0" collapsed="false">
      <c r="A9" s="4" t="n">
        <v>5</v>
      </c>
      <c r="B9" s="5" t="s">
        <v>28</v>
      </c>
      <c r="C9" s="6" t="s">
        <v>29</v>
      </c>
      <c r="D9" s="5" t="s">
        <v>30</v>
      </c>
      <c r="E9" s="5" t="s">
        <v>31</v>
      </c>
      <c r="F9" s="7" t="n">
        <v>10</v>
      </c>
      <c r="G9" s="5" t="s">
        <v>32</v>
      </c>
      <c r="H9" s="8"/>
    </row>
    <row r="10" customFormat="false" ht="61.5" hidden="false" customHeight="true" outlineLevel="0" collapsed="false">
      <c r="A10" s="9" t="n">
        <v>6</v>
      </c>
      <c r="B10" s="10" t="s">
        <v>28</v>
      </c>
      <c r="C10" s="11" t="s">
        <v>33</v>
      </c>
      <c r="D10" s="10" t="s">
        <v>34</v>
      </c>
      <c r="E10" s="10" t="s">
        <v>35</v>
      </c>
      <c r="F10" s="12" t="n">
        <v>8</v>
      </c>
      <c r="G10" s="10" t="s">
        <v>36</v>
      </c>
      <c r="H10" s="8"/>
    </row>
    <row r="11" customFormat="false" ht="75" hidden="false" customHeight="true" outlineLevel="0" collapsed="false">
      <c r="A11" s="4" t="n">
        <v>7</v>
      </c>
      <c r="B11" s="5" t="s">
        <v>28</v>
      </c>
      <c r="C11" s="6" t="s">
        <v>37</v>
      </c>
      <c r="D11" s="5" t="s">
        <v>38</v>
      </c>
      <c r="E11" s="5" t="s">
        <v>39</v>
      </c>
      <c r="F11" s="7" t="n">
        <v>8</v>
      </c>
      <c r="G11" s="5" t="s">
        <v>40</v>
      </c>
      <c r="H11" s="8"/>
    </row>
    <row r="12" customFormat="false" ht="75" hidden="false" customHeight="true" outlineLevel="0" collapsed="false">
      <c r="A12" s="9" t="n">
        <v>8</v>
      </c>
      <c r="B12" s="10" t="s">
        <v>41</v>
      </c>
      <c r="C12" s="11" t="s">
        <v>42</v>
      </c>
      <c r="D12" s="10" t="s">
        <v>43</v>
      </c>
      <c r="E12" s="10" t="s">
        <v>44</v>
      </c>
      <c r="F12" s="12" t="n">
        <v>15</v>
      </c>
      <c r="G12" s="10" t="s">
        <v>45</v>
      </c>
      <c r="H12" s="8"/>
    </row>
    <row r="13" customFormat="false" ht="75" hidden="false" customHeight="true" outlineLevel="0" collapsed="false">
      <c r="A13" s="4" t="n">
        <v>9</v>
      </c>
      <c r="B13" s="5" t="s">
        <v>46</v>
      </c>
      <c r="C13" s="6" t="s">
        <v>47</v>
      </c>
      <c r="D13" s="5" t="s">
        <v>48</v>
      </c>
      <c r="E13" s="5" t="s">
        <v>49</v>
      </c>
      <c r="F13" s="7" t="n">
        <v>15</v>
      </c>
      <c r="G13" s="5" t="s">
        <v>50</v>
      </c>
      <c r="H13" s="8"/>
    </row>
    <row r="14" customFormat="false" ht="75" hidden="false" customHeight="true" outlineLevel="0" collapsed="false">
      <c r="A14" s="9" t="n">
        <v>10</v>
      </c>
      <c r="B14" s="10" t="s">
        <v>51</v>
      </c>
      <c r="C14" s="11" t="s">
        <v>52</v>
      </c>
      <c r="D14" s="10" t="s">
        <v>53</v>
      </c>
      <c r="E14" s="10" t="s">
        <v>54</v>
      </c>
      <c r="F14" s="12" t="n">
        <v>8</v>
      </c>
      <c r="G14" s="10" t="s">
        <v>55</v>
      </c>
      <c r="H14" s="8"/>
    </row>
  </sheetData>
  <autoFilter ref="A4:H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89"/>
    <col collapsed="false" customWidth="true" hidden="false" outlineLevel="0" max="2" min="2" style="0" width="12.86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13" t="s">
        <v>58</v>
      </c>
    </row>
    <row r="5" customFormat="false" ht="15" hidden="false" customHeight="false" outlineLevel="0" collapsed="false">
      <c r="A5" s="14" t="s">
        <v>3</v>
      </c>
      <c r="B5" s="14" t="s">
        <v>59</v>
      </c>
      <c r="C5" s="14" t="s">
        <v>60</v>
      </c>
      <c r="D5" s="14" t="s">
        <v>61</v>
      </c>
      <c r="E5" s="14" t="s">
        <v>62</v>
      </c>
    </row>
    <row r="6" customFormat="false" ht="15" hidden="false" customHeight="false" outlineLevel="0" collapsed="false">
      <c r="A6" s="15" t="s">
        <v>10</v>
      </c>
      <c r="B6" s="15" t="n">
        <f aca="false">COUNTIF(시나리오!$B$5:$B$85,A6)</f>
        <v>3</v>
      </c>
      <c r="C6" s="15" t="n">
        <f aca="false">SUMIF(시나리오!$B$5:$B$85,A6,시나리오!$F$5:$F$85)</f>
        <v>15</v>
      </c>
      <c r="D6" s="15" t="n">
        <f aca="false">COUNTIFS(시나리오!$B$5:$B$85,A6,시나리오!$H$5:$H$85,"?*")</f>
        <v>0</v>
      </c>
      <c r="E6" s="15" t="n">
        <f aca="false">B6-D6</f>
        <v>3</v>
      </c>
    </row>
    <row r="7" customFormat="false" ht="15" hidden="false" customHeight="false" outlineLevel="0" collapsed="false">
      <c r="A7" s="15" t="s">
        <v>28</v>
      </c>
      <c r="B7" s="15" t="n">
        <f aca="false">COUNTIF(시나리오!$B$5:$B$85,A7)</f>
        <v>3</v>
      </c>
      <c r="C7" s="15" t="n">
        <f aca="false">SUMIF(시나리오!$B$5:$B$85,A7,시나리오!$F$5:$F$85)</f>
        <v>26</v>
      </c>
      <c r="D7" s="15" t="n">
        <f aca="false">COUNTIFS(시나리오!$B$5:$B$85,A7,시나리오!$H$5:$H$85,"?*")</f>
        <v>0</v>
      </c>
      <c r="E7" s="15" t="n">
        <f aca="false">B7-D7</f>
        <v>3</v>
      </c>
    </row>
    <row r="8" customFormat="false" ht="15" hidden="false" customHeight="false" outlineLevel="0" collapsed="false">
      <c r="A8" s="15" t="s">
        <v>41</v>
      </c>
      <c r="B8" s="15" t="n">
        <f aca="false">COUNTIF(시나리오!$B$5:$B$85,A8)</f>
        <v>1</v>
      </c>
      <c r="C8" s="15" t="n">
        <f aca="false">SUMIF(시나리오!$B$5:$B$85,A8,시나리오!$F$5:$F$85)</f>
        <v>15</v>
      </c>
      <c r="D8" s="15" t="n">
        <f aca="false">COUNTIFS(시나리오!$B$5:$B$85,A8,시나리오!$H$5:$H$85,"?*")</f>
        <v>0</v>
      </c>
      <c r="E8" s="15" t="n">
        <f aca="false">B8-D8</f>
        <v>1</v>
      </c>
    </row>
    <row r="9" customFormat="false" ht="15" hidden="false" customHeight="false" outlineLevel="0" collapsed="false">
      <c r="A9" s="15" t="s">
        <v>23</v>
      </c>
      <c r="B9" s="15" t="n">
        <f aca="false">COUNTIF(시나리오!$B$5:$B$85,A9)</f>
        <v>1</v>
      </c>
      <c r="C9" s="15" t="n">
        <f aca="false">SUMIF(시나리오!$B$5:$B$85,A9,시나리오!$F$5:$F$85)</f>
        <v>6</v>
      </c>
      <c r="D9" s="15" t="n">
        <f aca="false">COUNTIFS(시나리오!$B$5:$B$85,A9,시나리오!$H$5:$H$85,"?*")</f>
        <v>0</v>
      </c>
      <c r="E9" s="15" t="n">
        <f aca="false">B9-D9</f>
        <v>1</v>
      </c>
    </row>
    <row r="10" customFormat="false" ht="15" hidden="false" customHeight="false" outlineLevel="0" collapsed="false">
      <c r="A10" s="15" t="s">
        <v>46</v>
      </c>
      <c r="B10" s="15" t="n">
        <f aca="false">COUNTIF(시나리오!$B$5:$B$85,A10)</f>
        <v>1</v>
      </c>
      <c r="C10" s="15" t="n">
        <f aca="false">SUMIF(시나리오!$B$5:$B$85,A10,시나리오!$F$5:$F$85)</f>
        <v>15</v>
      </c>
      <c r="D10" s="15" t="n">
        <f aca="false">COUNTIFS(시나리오!$B$5:$B$85,A10,시나리오!$H$5:$H$85,"?*")</f>
        <v>0</v>
      </c>
      <c r="E10" s="15" t="n">
        <f aca="false">B10-D10</f>
        <v>1</v>
      </c>
    </row>
    <row r="11" customFormat="false" ht="15" hidden="false" customHeight="false" outlineLevel="0" collapsed="false">
      <c r="A11" s="15" t="s">
        <v>51</v>
      </c>
      <c r="B11" s="15" t="n">
        <f aca="false">COUNTIF(시나리오!$B$5:$B$85,A11)</f>
        <v>1</v>
      </c>
      <c r="C11" s="15" t="n">
        <f aca="false">SUMIF(시나리오!$B$5:$B$85,A11,시나리오!$F$5:$F$85)</f>
        <v>8</v>
      </c>
      <c r="D11" s="15" t="n">
        <f aca="false">COUNTIFS(시나리오!$B$5:$B$85,A11,시나리오!$H$5:$H$85,"?*")</f>
        <v>0</v>
      </c>
      <c r="E11" s="15" t="n">
        <f aca="false">B11-D11</f>
        <v>1</v>
      </c>
    </row>
    <row r="12" customFormat="false" ht="15" hidden="false" customHeight="false" outlineLevel="0" collapsed="false">
      <c r="A12" s="16" t="s">
        <v>63</v>
      </c>
      <c r="B12" s="16" t="n">
        <f aca="false">SUM(B6:B11)</f>
        <v>10</v>
      </c>
      <c r="C12" s="16" t="n">
        <f aca="false">SUM(C6:C11)</f>
        <v>85</v>
      </c>
      <c r="D12" s="16" t="n">
        <f aca="false">SUM(D6:D11)</f>
        <v>0</v>
      </c>
      <c r="E12" s="16" t="n">
        <f aca="false">SUM(E6:E11)</f>
        <v>10</v>
      </c>
    </row>
    <row r="14" customFormat="false" ht="15" hidden="false" customHeight="false" outlineLevel="0" collapsed="false">
      <c r="A14" s="13" t="s">
        <v>64</v>
      </c>
    </row>
    <row r="15" customFormat="false" ht="15" hidden="false" customHeight="false" outlineLevel="0" collapsed="false">
      <c r="A15" s="15" t="s">
        <v>65</v>
      </c>
      <c r="B15" s="15" t="n">
        <f aca="false">MAX(시나리오!$F$5:$F$85)</f>
        <v>15</v>
      </c>
    </row>
    <row r="16" customFormat="false" ht="15" hidden="false" customHeight="false" outlineLevel="0" collapsed="false">
      <c r="A16" s="15" t="s">
        <v>66</v>
      </c>
      <c r="B16" s="15" t="str">
        <f aca="false">IF(B15&lt;=20,"충족","초과 시나리오 있음")</f>
        <v>충족</v>
      </c>
    </row>
    <row r="18" customFormat="false" ht="15" hidden="false" customHeight="false" outlineLevel="0" collapsed="false">
      <c r="A18" s="13" t="s">
        <v>67</v>
      </c>
    </row>
    <row r="19" customFormat="false" ht="15" hidden="false" customHeight="false" outlineLevel="0" collapsed="false">
      <c r="A19" s="14" t="s">
        <v>9</v>
      </c>
      <c r="B19" s="14" t="s">
        <v>59</v>
      </c>
      <c r="C19" s="14" t="s">
        <v>60</v>
      </c>
    </row>
    <row r="20" customFormat="false" ht="15" hidden="false" customHeight="false" outlineLevel="0" collapsed="false">
      <c r="A20" s="17"/>
      <c r="B20" s="18" t="str">
        <f aca="false">IF(A20="","",COUNTIF(시나리오!$H$5:$H$85,A20))</f>
        <v/>
      </c>
      <c r="C20" s="18" t="str">
        <f aca="false">IF(A20="","",SUMIF(시나리오!$H$5:$H$85,A20,시나리오!$F$5:$F$85))</f>
        <v/>
      </c>
    </row>
    <row r="21" customFormat="false" ht="15" hidden="false" customHeight="false" outlineLevel="0" collapsed="false">
      <c r="A21" s="17"/>
      <c r="B21" s="18" t="str">
        <f aca="false">IF(A21="","",COUNTIF(시나리오!$H$5:$H$85,A21))</f>
        <v/>
      </c>
      <c r="C21" s="18" t="str">
        <f aca="false">IF(A21="","",SUMIF(시나리오!$H$5:$H$85,A21,시나리오!$F$5:$F$85))</f>
        <v/>
      </c>
    </row>
    <row r="22" customFormat="false" ht="15" hidden="false" customHeight="false" outlineLevel="0" collapsed="false">
      <c r="A22" s="17"/>
      <c r="B22" s="18" t="str">
        <f aca="false">IF(A22="","",COUNTIF(시나리오!$H$5:$H$85,A22))</f>
        <v/>
      </c>
      <c r="C22" s="18" t="str">
        <f aca="false">IF(A22="","",SUMIF(시나리오!$H$5:$H$85,A22,시나리오!$F$5:$F$85))</f>
        <v/>
      </c>
    </row>
    <row r="23" customFormat="false" ht="15" hidden="false" customHeight="false" outlineLevel="0" collapsed="false">
      <c r="A23" s="17"/>
      <c r="B23" s="18" t="str">
        <f aca="false">IF(A23="","",COUNTIF(시나리오!$H$5:$H$85,A23))</f>
        <v/>
      </c>
      <c r="C23" s="18" t="str">
        <f aca="false">IF(A23="","",SUMIF(시나리오!$H$5:$H$85,A23,시나리오!$F$5:$F$85))</f>
        <v/>
      </c>
    </row>
    <row r="24" customFormat="false" ht="15" hidden="false" customHeight="false" outlineLevel="0" collapsed="false">
      <c r="A24" s="17"/>
      <c r="B24" s="18" t="str">
        <f aca="false">IF(A24="","",COUNTIF(시나리오!$H$5:$H$85,A24))</f>
        <v/>
      </c>
      <c r="C24" s="18" t="str">
        <f aca="false">IF(A24="","",SUMIF(시나리오!$H$5:$H$85,A24,시나리오!$F$5:$F$85))</f>
        <v/>
      </c>
    </row>
    <row r="25" customFormat="false" ht="15" hidden="false" customHeight="false" outlineLevel="0" collapsed="false">
      <c r="A25" s="17"/>
      <c r="B25" s="18" t="str">
        <f aca="false">IF(A25="","",COUNTIF(시나리오!$H$5:$H$85,A25))</f>
        <v/>
      </c>
      <c r="C25" s="18" t="str">
        <f aca="false">IF(A25="","",SUMIF(시나리오!$H$5:$H$85,A25,시나리오!$F$5:$F$85))</f>
        <v/>
      </c>
    </row>
    <row r="26" customFormat="false" ht="15" hidden="false" customHeight="false" outlineLevel="0" collapsed="false">
      <c r="A26" s="17"/>
      <c r="B26" s="18" t="str">
        <f aca="false">IF(A26="","",COUNTIF(시나리오!$H$5:$H$85,A26))</f>
        <v/>
      </c>
      <c r="C26" s="18" t="str">
        <f aca="false">IF(A26="","",SUMIF(시나리오!$H$5:$H$85,A26,시나리오!$F$5:$F$85))</f>
        <v/>
      </c>
    </row>
    <row r="27" customFormat="false" ht="15" hidden="false" customHeight="false" outlineLevel="0" collapsed="false">
      <c r="A27" s="17"/>
      <c r="B27" s="18" t="str">
        <f aca="false">IF(A27="","",COUNTIF(시나리오!$H$5:$H$85,A27))</f>
        <v/>
      </c>
      <c r="C27" s="18" t="str">
        <f aca="false">IF(A27="","",SUMIF(시나리오!$H$5:$H$85,A27,시나리오!$F$5:$F$85))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89"/>
    <col collapsed="false" customWidth="true" hidden="false" outlineLevel="0" max="2" min="2" style="0" width="110.25"/>
  </cols>
  <sheetData>
    <row r="1" customFormat="false" ht="17.35" hidden="false" customHeight="false" outlineLevel="0" collapsed="false">
      <c r="A1" s="1" t="s">
        <v>68</v>
      </c>
    </row>
    <row r="3" customFormat="false" ht="15" hidden="false" customHeight="false" outlineLevel="0" collapsed="false">
      <c r="A3" s="19" t="s">
        <v>69</v>
      </c>
    </row>
    <row r="4" customFormat="false" ht="34.5" hidden="false" customHeight="true" outlineLevel="0" collapsed="false">
      <c r="A4" s="20" t="s">
        <v>70</v>
      </c>
      <c r="B4" s="21" t="s">
        <v>71</v>
      </c>
    </row>
    <row r="5" customFormat="false" ht="48" hidden="false" customHeight="true" outlineLevel="0" collapsed="false">
      <c r="A5" s="20" t="s">
        <v>72</v>
      </c>
      <c r="B5" s="21" t="s">
        <v>73</v>
      </c>
    </row>
    <row r="6" customFormat="false" ht="48" hidden="false" customHeight="true" outlineLevel="0" collapsed="false">
      <c r="A6" s="20" t="s">
        <v>7</v>
      </c>
      <c r="B6" s="21" t="s">
        <v>74</v>
      </c>
    </row>
    <row r="7" customFormat="false" ht="34.5" hidden="false" customHeight="true" outlineLevel="0" collapsed="false">
      <c r="A7" s="20" t="s">
        <v>75</v>
      </c>
      <c r="B7" s="21" t="s">
        <v>76</v>
      </c>
    </row>
    <row r="9" customFormat="false" ht="15" hidden="false" customHeight="false" outlineLevel="0" collapsed="false">
      <c r="A9" s="19" t="s">
        <v>77</v>
      </c>
    </row>
    <row r="10" customFormat="false" ht="34.5" hidden="false" customHeight="true" outlineLevel="0" collapsed="false">
      <c r="A10" s="20" t="s">
        <v>78</v>
      </c>
      <c r="B10" s="21" t="s">
        <v>79</v>
      </c>
    </row>
    <row r="11" customFormat="false" ht="30" hidden="false" customHeight="true" outlineLevel="0" collapsed="false">
      <c r="A11" s="20" t="s">
        <v>80</v>
      </c>
      <c r="B11" s="21" t="s">
        <v>81</v>
      </c>
    </row>
    <row r="12" customFormat="false" ht="34.5" hidden="false" customHeight="true" outlineLevel="0" collapsed="false">
      <c r="A12" s="20" t="s">
        <v>82</v>
      </c>
      <c r="B12" s="21" t="s">
        <v>83</v>
      </c>
    </row>
    <row r="13" customFormat="false" ht="34.5" hidden="false" customHeight="true" outlineLevel="0" collapsed="false">
      <c r="A13" s="20" t="s">
        <v>84</v>
      </c>
      <c r="B13" s="21" t="s">
        <v>85</v>
      </c>
    </row>
    <row r="14" customFormat="false" ht="34.5" hidden="false" customHeight="true" outlineLevel="0" collapsed="false">
      <c r="A14" s="20" t="s">
        <v>86</v>
      </c>
      <c r="B14" s="21" t="s">
        <v>87</v>
      </c>
    </row>
    <row r="16" customFormat="false" ht="15" hidden="false" customHeight="false" outlineLevel="0" collapsed="false">
      <c r="A16" s="19" t="s">
        <v>88</v>
      </c>
    </row>
    <row r="17" customFormat="false" ht="15" hidden="false" customHeight="false" outlineLevel="0" collapsed="false">
      <c r="A17" s="22" t="n">
        <v>1</v>
      </c>
      <c r="B17" s="15" t="s">
        <v>89</v>
      </c>
    </row>
    <row r="18" customFormat="false" ht="15" hidden="false" customHeight="false" outlineLevel="0" collapsed="false">
      <c r="A18" s="22" t="n">
        <v>2</v>
      </c>
      <c r="B18" s="15" t="s">
        <v>90</v>
      </c>
    </row>
    <row r="19" customFormat="false" ht="15" hidden="false" customHeight="false" outlineLevel="0" collapsed="false">
      <c r="A19" s="22" t="n">
        <v>3</v>
      </c>
      <c r="B19" s="15" t="s">
        <v>91</v>
      </c>
    </row>
    <row r="20" customFormat="false" ht="15" hidden="false" customHeight="false" outlineLevel="0" collapsed="false">
      <c r="A20" s="22" t="n">
        <v>4</v>
      </c>
      <c r="B20" s="15" t="s">
        <v>92</v>
      </c>
    </row>
    <row r="21" customFormat="false" ht="15" hidden="false" customHeight="false" outlineLevel="0" collapsed="false">
      <c r="A21" s="22" t="n">
        <v>5</v>
      </c>
      <c r="B21" s="15" t="s">
        <v>93</v>
      </c>
    </row>
    <row r="22" customFormat="false" ht="15" hidden="false" customHeight="false" outlineLevel="0" collapsed="false">
      <c r="A22" s="22" t="n">
        <v>6</v>
      </c>
      <c r="B22" s="15" t="s">
        <v>94</v>
      </c>
    </row>
    <row r="23" customFormat="false" ht="15" hidden="false" customHeight="false" outlineLevel="0" collapsed="false">
      <c r="A23" s="22" t="n">
        <v>7</v>
      </c>
      <c r="B23" s="15" t="s">
        <v>95</v>
      </c>
    </row>
    <row r="24" customFormat="false" ht="15" hidden="false" customHeight="false" outlineLevel="0" collapsed="false">
      <c r="A24" s="22" t="n">
        <v>8</v>
      </c>
      <c r="B24" s="15" t="s">
        <v>96</v>
      </c>
    </row>
    <row r="25" customFormat="false" ht="15" hidden="false" customHeight="false" outlineLevel="0" collapsed="false">
      <c r="A25" s="22" t="n">
        <v>9</v>
      </c>
      <c r="B25" s="15" t="s">
        <v>97</v>
      </c>
    </row>
    <row r="26" customFormat="false" ht="15" hidden="false" customHeight="false" outlineLevel="0" collapsed="false">
      <c r="A26" s="22" t="n">
        <v>10</v>
      </c>
      <c r="B26" s="15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2026-10-21T05:19:27Z</dcterms:created>
  <dc:creator>openpyxl</dc:creator>
  <dc:description/>
  <dc:language>ko-KR</dc:language>
  <cp:lastModifiedBy/>
  <dcterms:modified xsi:type="dcterms:W3CDTF">2026-10-21T05:19:27Z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