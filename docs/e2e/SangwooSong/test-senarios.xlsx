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나리오" sheetId="1" state="visible" r:id="rId3"/>
  </sheets>
  <definedNames>
    <definedName function="false" hidden="true" localSheetId="0" name="_xlnm._FilterDatabase" vbProcedure="false">시나리오!$A$1:$F$11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<sst xmlns="http://schemas.openxmlformats.org/spreadsheetml/2006/main" count="57" uniqueCount="57">
  <si>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No</t>
  </si>
  <si>
    <t xml:space="preserve">시나리오</t>
  </si>
  <si>
    <t xml:space="preserve">절차</t>
  </si>
  <si>
    <t xml:space="preserve">목적</t>
  </si>
  <si>
    <t xml:space="preserve">예상시간</t>
  </si>
  <si>
    <t xml:space="preserve">Pass 조건</t>
  </si>
  <si>
    <t xml:space="preserve">로그인 성공</t>
  </si>
  <si>
    <t xml:space="preserve">1) /login 접속
2) 아이디 admin, 비밀번호 admin 입력
3) 로그인 버튼 클릭</t>
  </si>
  <si>
    <t xml:space="preserve">올바른 계정으로 로그인하면 주문 목록으로 진입하는지 확인한다.</t>
  </si>
  <si>
    <t xml:space="preserve">- URL이 /orders 로 이동한다.
- 화면에 '주문 목록' 제목과 '주문 추가' 버튼이 보인다.
- 화면 상단에 로그인한 아이디 admin 이 표시된다.</t>
  </si>
  <si>
    <t xml:space="preserve">로그인 실패</t>
  </si>
  <si>
    <t xml:space="preserve">1) /login 접속
2) 아이디 admin, 비밀번호에 틀린 값 입력
3) 로그인 버튼 클릭</t>
  </si>
  <si>
    <t xml:space="preserve">잘못된 계정 정보로는 진입할 수 없고 이유가 안내되는지 확인한다.</t>
  </si>
  <si>
    <t xml:space="preserve">- URL이 /login 에 머문다.
- '아이디 또는 비밀번호가 올바르지 않습니다' 메시지가 보인다.
- 주문 목록 화면은 열리지 않는다.</t>
  </si>
  <si>
    <t xml:space="preserve">미로그인 접근 차단</t>
  </si>
  <si>
    <t xml:space="preserve">1) 로그인하지 않은 새 브라우저 컨텍스트에서 /orders 직접 접속
2) 같은 컨텍스트에서 POST /api/simulate 요청 (본문 {})</t>
  </si>
  <si>
    <t xml:space="preserve">로그인하지 않은 사용자가 화면과 데이터 요청 모두 막히는지 확인한다.</t>
  </si>
  <si>
    <t xml:space="preserve">- /orders 접속 시 /login 으로 이동한다.
- POST /api/simulate 응답 상태가 401 이다.</t>
  </si>
  <si>
    <t xml:space="preserve">주문 목록 화면 구성과 주문 추가 이동</t>
  </si>
  <si>
    <t xml:space="preserve">1) 로그인
2) 주문 목록 화면 확인
3) '주문 추가' 버튼 클릭</t>
  </si>
  <si>
    <t xml:space="preserve">주문 목록의 상태 필터가 구성되어 있고 새 주문 화면으로 이동할 수 있는지 확인한다.</t>
  </si>
  <si>
    <t xml:space="preserve">- 필터 칩 '전체', '확정', '진행', '완료', '취소' 가 모두 보이고 각각 건수가 숫자로 표시된다.
- 버튼 클릭 후 URL이 /orders/new 이다.
- '주문 추가' 제목이 보인다.</t>
  </si>
  <si>
    <t xml:space="preserve">시뮬레이션 실행 (기본 수량 12,000K)</t>
  </si>
  <si>
    <t xml:space="preserve">1) 로그인 후 /orders/new 이동
2) 총 생산 필요 수 기본값 12,000 그대로 둔다
3) '시뮬레이션 실행' 클릭</t>
  </si>
  <si>
    <t xml:space="preserve">기본 수량으로 3가지 경로 안이 계산되어 표시되는지 확인한다.</t>
  </si>
  <si>
    <t xml:space="preserve">- 결과 영역에 '운항비 최소', '가장 빠르게', '가까운 곳부터' 안 3개가 보인다.
- 각 안에 '소요 N일'과 '총 비용 N억원'이 표시된다.
- 요약의 총 수량이 12,000K 이다.
- 나라별 필요 방문 횟수가 일본 2회, 중국·베트남·인도네시아 각 1회이다 (기본 마스터 기준).</t>
  </si>
  <si>
    <t xml:space="preserve">수량 게이지 연동</t>
  </si>
  <si>
    <t xml:space="preserve">1) 로그인 후 /orders/new 이동
2) 총 12,000 기본값에서 중국 수량 입력칸을 4,000 으로 변경</t>
  </si>
  <si>
    <t xml:space="preserve">한 나라 수량을 바꾸면 오른쪽 나라가 반대로 조정되고 합계가 유지되는지 확인한다.</t>
  </si>
  <si>
    <t xml:space="preserve">- 중국 4,000, 일본 2,000 으로 바뀐다.
- 베트남·인도네시아는 3,000 그대로이다.
- 네 나라 수량의 합이 12,000 이다.</t>
  </si>
  <si>
    <t xml:space="preserve">총 수량 상한 초과 입력 오류</t>
  </si>
  <si>
    <t xml:space="preserve">1) 로그인 후 /orders/new 이동
2) 총 생산 필요 수를 100,001 로 변경
3) '시뮬레이션 실행' 클릭</t>
  </si>
  <si>
    <t xml:space="preserve">허용 범위(합계 100,000K 이하)를 넘는 입력이 이유와 함께 거절되는지 확인한다.</t>
  </si>
  <si>
    <t xml:space="preserve">- '총 생산 필요 수는 100,000K 이하여야 합니다' 오류 메시지가 보인다.
- 시뮬레이션 결과 영역은 나타나지 않는다.
- 주문이 생성되지 않는다 (주문 목록 건수 불변).</t>
  </si>
  <si>
    <t xml:space="preserve">경로 선택 후 주문 확정</t>
  </si>
  <si>
    <t xml:space="preserve">1) 로그인 후 /orders/new 이동
2) 시뮬레이션 실행
3) '가장 빠르게' 안 선택
4) 메모에 'e2e 확정 테스트' 입력
5) '주문 확정' 클릭</t>
  </si>
  <si>
    <t xml:space="preserve">선택한 안이 메모와 함께 주문으로 저장되고 상세 화면으로 이동하는지 확인한다.</t>
  </si>
  <si>
    <t xml:space="preserve">- URL이 /orders/{번호} 형태의 상세 화면이다.
- 상태 배지가 '확정' 이다.
- 경로가 '가장 빠르게', 메모가 'e2e 확정 테스트' 로 표시된다.
- 상태 이력에 이전 상태 '-', 새 상태 '확정' 1건이 있다.</t>
  </si>
  <si>
    <t xml:space="preserve">주문 상태 변경 (확정 → 진행)</t>
  </si>
  <si>
    <t xml:space="preserve">1) (사전) 확정 상태 주문 1건 준비 — POST /api/orders 로 생성하고 /orders/{번호} 접속
2) '진행(으)로 변경' 클릭
3) 확인 대화상자 수락</t>
  </si>
  <si>
    <t xml:space="preserve">허용된 상태 변경이 반영되고 이력이 남으며 다음에 가능한 버튼만 보이는지 확인한다.</t>
  </si>
  <si>
    <t xml:space="preserve">- '상태를 '진행'(으)로 바꿨습니다' 안내가 보인다.
- 상태 배지가 '진행' 이다.
- 상태 이력이 2건(확정 → 진행 추가)이다.
- 변경 버튼은 '완료(으)로 변경', '취소(으)로 변경' 두 개만 보인다.</t>
  </si>
  <si>
    <t xml:space="preserve">마스터 데이터 잘못된 값 저장 거부</t>
  </si>
  <si>
    <t xml:space="preserve">1) 로그인 후 /master 이동
2) 배 척수에 9 입력 (허용 범위 1~4)
3) '저장' 클릭
4) /master 다시 접속</t>
  </si>
  <si>
    <t xml:space="preserve">잘못된 값은 저장되지 않고 이유가 안내되며 기존 값이 유지되는지 확인한다.</t>
  </si>
  <si>
    <t xml:space="preserve">- '저장하지 않았습니다' 안내와 함께 오류 이유 목록이 보인다.
- 오류 목록에 배 척수 범위(1 이상 4 이하) 관련 문구가 있다.
- 다시 접속한 /master 의 배 척수가 변경 전 값(기본 3)이다.</t>
  </si>
  <si>
    <t xml:space="preserve">시나리오 수</t>
  </si>
  <si>
    <t xml:space="preserve">최대 예상시간</t>
  </si>
  <si>
    <t xml:space="preserve">예상시간 합계</t>
  </si>
  <si>
    <t xml:space="preserve">20초 이내 기준</t>
  </si>
  <si>
    <t xml:space="preserve">전제 및 가정</t>
  </si>
  <si>
    <t xml:space="preserve">- 예상시간은 작성자가 화면 동작을 보고 잡은 추정치(초)이며 실행 측정값이 아니다. 실제 측정 후 갱신한다.</t>
  </si>
  <si>
    <t xml:space="preserve">- 테스트 대상은 이미 실행 중인 서버이다 (기본 http://localhost:8080, 환경변수 BASE_URL 로 변경).</t>
  </si>
  <si>
    <t xml:space="preserve">- 로그인 계정은 admin / admin 이다 (AppController 의 고정 계정).</t>
  </si>
  <si>
    <t xml:space="preserve">- 수량·방문 횟수 기대값은 기본 마스터 값 기준이다. 마스터를 바꾸면 시나리오 5, 6 의 기대값이 달라질 수 있다.</t>
  </si>
  <si>
    <t xml:space="preserve">- 시나리오 8, 9 는 주문을 생성하므로 파일 DB에 데이터가 남는다. 나머지는 데이터를 남기지 않는다.</t>
  </si>
  <si>
    <t xml:space="preserve">- 주문 취소는 현재 주문이 삭제되는 동작의 의도가 확정되지 않아(INTENT.md 미결 사항) 시나리오에서 제외했다.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</si>
</sst>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초"/>
  </numFmts>
  <fonts count="7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Malgun Gothic"/>
      <family val="0"/>
      <charset val="1"/>
    </font>
    <font>
      <sz val="10"/>
      <name val="Malgun Gothic"/>
      <family val="0"/>
      <charset val="1"/>
    </font>
    <font>
      <b val="true"/>
      <sz val="10"/>
      <name val="Malgun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3.37"/>
    <col collapsed="false" customWidth="true" hidden="false" outlineLevel="0" max="3" min="3" style="0" width="41.73"/>
    <col collapsed="false" customWidth="true" hidden="false" outlineLevel="0" max="4" min="4" style="0" width="31.71"/>
    <col collapsed="false" customWidth="true" hidden="false" outlineLevel="0" max="5" min="5" style="0" width="9.18"/>
    <col collapsed="false" customWidth="true" hidden="false" outlineLevel="0" max="6" min="6" style="0" width="48.41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78" hidden="false" customHeight="tru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4" t="n">
        <v>5</v>
      </c>
      <c r="F2" s="3" t="s">
        <v>9</v>
      </c>
    </row>
    <row r="3" customFormat="false" ht="63.75" hidden="false" customHeight="true" outlineLevel="0" collapsed="false">
      <c r="A3" s="2" t="n">
        <v>2</v>
      </c>
      <c r="B3" s="3" t="s">
        <v>10</v>
      </c>
      <c r="C3" s="3" t="s">
        <v>11</v>
      </c>
      <c r="D3" s="3" t="s">
        <v>12</v>
      </c>
      <c r="E3" s="4" t="n">
        <v>5</v>
      </c>
      <c r="F3" s="3" t="s">
        <v>13</v>
      </c>
    </row>
    <row r="4" customFormat="false" ht="63.75" hidden="false" customHeight="true" outlineLevel="0" collapsed="false">
      <c r="A4" s="2" t="n">
        <v>3</v>
      </c>
      <c r="B4" s="3" t="s">
        <v>14</v>
      </c>
      <c r="C4" s="3" t="s">
        <v>15</v>
      </c>
      <c r="D4" s="3" t="s">
        <v>16</v>
      </c>
      <c r="E4" s="4" t="n">
        <v>5</v>
      </c>
      <c r="F4" s="3" t="s">
        <v>17</v>
      </c>
    </row>
    <row r="5" customFormat="false" ht="63.75" hidden="false" customHeight="true" outlineLevel="0" collapsed="false">
      <c r="A5" s="2" t="n">
        <v>4</v>
      </c>
      <c r="B5" s="3" t="s">
        <v>18</v>
      </c>
      <c r="C5" s="3" t="s">
        <v>19</v>
      </c>
      <c r="D5" s="3" t="s">
        <v>20</v>
      </c>
      <c r="E5" s="4" t="n">
        <v>6</v>
      </c>
      <c r="F5" s="3" t="s">
        <v>21</v>
      </c>
    </row>
    <row r="6" customFormat="false" ht="105.75" hidden="false" customHeight="true" outlineLevel="0" collapsed="false">
      <c r="A6" s="2" t="n">
        <v>5</v>
      </c>
      <c r="B6" s="3" t="s">
        <v>22</v>
      </c>
      <c r="C6" s="3" t="s">
        <v>23</v>
      </c>
      <c r="D6" s="3" t="s">
        <v>24</v>
      </c>
      <c r="E6" s="4" t="n">
        <v>10</v>
      </c>
      <c r="F6" s="3" t="s">
        <v>25</v>
      </c>
    </row>
    <row r="7" customFormat="false" ht="49.5" hidden="false" customHeight="true" outlineLevel="0" collapsed="false">
      <c r="A7" s="2" t="n">
        <v>6</v>
      </c>
      <c r="B7" s="3" t="s">
        <v>26</v>
      </c>
      <c r="C7" s="3" t="s">
        <v>27</v>
      </c>
      <c r="D7" s="3" t="s">
        <v>28</v>
      </c>
      <c r="E7" s="4" t="n">
        <v>8</v>
      </c>
      <c r="F7" s="3" t="s">
        <v>29</v>
      </c>
    </row>
    <row r="8" customFormat="false" ht="78" hidden="false" customHeight="true" outlineLevel="0" collapsed="false">
      <c r="A8" s="2" t="n">
        <v>7</v>
      </c>
      <c r="B8" s="3" t="s">
        <v>30</v>
      </c>
      <c r="C8" s="3" t="s">
        <v>31</v>
      </c>
      <c r="D8" s="3" t="s">
        <v>32</v>
      </c>
      <c r="E8" s="4" t="n">
        <v>8</v>
      </c>
      <c r="F8" s="3" t="s">
        <v>33</v>
      </c>
    </row>
    <row r="9" customFormat="false" ht="91.5" hidden="false" customHeight="true" outlineLevel="0" collapsed="false">
      <c r="A9" s="2" t="n">
        <v>8</v>
      </c>
      <c r="B9" s="3" t="s">
        <v>34</v>
      </c>
      <c r="C9" s="3" t="s">
        <v>35</v>
      </c>
      <c r="D9" s="3" t="s">
        <v>36</v>
      </c>
      <c r="E9" s="4" t="n">
        <v>15</v>
      </c>
      <c r="F9" s="3" t="s">
        <v>37</v>
      </c>
    </row>
    <row r="10" customFormat="false" ht="91.5" hidden="false" customHeight="true" outlineLevel="0" collapsed="false">
      <c r="A10" s="2" t="n">
        <v>9</v>
      </c>
      <c r="B10" s="3" t="s">
        <v>38</v>
      </c>
      <c r="C10" s="3" t="s">
        <v>39</v>
      </c>
      <c r="D10" s="3" t="s">
        <v>40</v>
      </c>
      <c r="E10" s="4" t="n">
        <v>15</v>
      </c>
      <c r="F10" s="3" t="s">
        <v>41</v>
      </c>
    </row>
    <row r="11" customFormat="false" ht="91.5" hidden="false" customHeight="true" outlineLevel="0" collapsed="false">
      <c r="A11" s="2" t="n">
        <v>10</v>
      </c>
      <c r="B11" s="3" t="s">
        <v>42</v>
      </c>
      <c r="C11" s="3" t="s">
        <v>43</v>
      </c>
      <c r="D11" s="3" t="s">
        <v>44</v>
      </c>
      <c r="E11" s="4" t="n">
        <v>8</v>
      </c>
      <c r="F11" s="3" t="s">
        <v>45</v>
      </c>
    </row>
    <row r="13" customFormat="false" ht="15" hidden="false" customHeight="false" outlineLevel="0" collapsed="false">
      <c r="B13" s="5" t="s">
        <v>46</v>
      </c>
      <c r="C13" s="6" t="n">
        <f aca="false">COUNTA(B2:B11)</f>
        <v>10</v>
      </c>
    </row>
    <row r="14" customFormat="false" ht="15" hidden="false" customHeight="false" outlineLevel="0" collapsed="false">
      <c r="B14" s="5" t="s">
        <v>47</v>
      </c>
      <c r="C14" s="7" t="n">
        <f aca="false">MAX(E2:E11)</f>
        <v>15</v>
      </c>
    </row>
    <row r="15" customFormat="false" ht="15" hidden="false" customHeight="false" outlineLevel="0" collapsed="false">
      <c r="B15" s="5" t="s">
        <v>48</v>
      </c>
      <c r="C15" s="7" t="n">
        <f aca="false">SUM(E2:E11)</f>
        <v>85</v>
      </c>
    </row>
    <row r="16" customFormat="false" ht="15" hidden="false" customHeight="false" outlineLevel="0" collapsed="false">
      <c r="B16" s="5" t="s">
        <v>49</v>
      </c>
      <c r="C16" s="6" t="str">
        <f aca="false">IF(MAX(E2:E11)&lt;=20,"충족","초과 시나리오 있음")</f>
        <v>충족</v>
      </c>
    </row>
    <row r="18" customFormat="false" ht="15" hidden="false" customHeight="false" outlineLevel="0" collapsed="false">
      <c r="B18" s="5" t="s">
        <v>50</v>
      </c>
    </row>
    <row r="19" customFormat="false" ht="15" hidden="false" customHeight="false" outlineLevel="0" collapsed="false">
      <c r="B19" s="8" t="s">
        <v>51</v>
      </c>
    </row>
    <row r="20" customFormat="false" ht="15" hidden="false" customHeight="false" outlineLevel="0" collapsed="false">
      <c r="B20" s="8" t="s">
        <v>52</v>
      </c>
    </row>
    <row r="21" customFormat="false" ht="15" hidden="false" customHeight="false" outlineLevel="0" collapsed="false">
      <c r="B21" s="8" t="s">
        <v>53</v>
      </c>
    </row>
    <row r="22" customFormat="false" ht="15" hidden="false" customHeight="false" outlineLevel="0" collapsed="false">
      <c r="B22" s="8" t="s">
        <v>54</v>
      </c>
    </row>
    <row r="23" customFormat="false" ht="15" hidden="false" customHeight="false" outlineLevel="0" collapsed="false">
      <c r="B23" s="8" t="s">
        <v>55</v>
      </c>
    </row>
    <row r="24" customFormat="false" ht="15" hidden="false" customHeight="false" outlineLevel="0" collapsed="false">
      <c r="B24" s="8" t="s">
        <v>56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2026-10-21T02:32:00Z</dcterms:created>
  <dc:creator>openpyxl</dc:creator>
  <dc:description/>
  <dc:language>ko-KR</dc:language>
  <cp:lastModifiedBy/>
  <dcterms:modified xsi:type="dcterms:W3CDTF">2026-10-21T02:32:00Z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