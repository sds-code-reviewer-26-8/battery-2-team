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시나리오" sheetId="1" state="visible" r:id="rId3"/>
    <sheet name="요약" sheetId="2" state="visible" r:id="rId4"/>
    <sheet name="안내" sheetId="3" state="visible" r:id="rId5"/>
  </sheets>
  <definedNames>
    <definedName function="false" hidden="true" localSheetId="0" name="_xlnm._FilterDatabase" vbProcedure="false">시나리오!$A$4:$K$55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<sst xmlns="http://schemas.openxmlformats.org/spreadsheetml/2006/main" count="567" uniqueCount="320">
  <si>
    <t xml:space="preserve">배터리 주문 관리 — E2E 테스트 시나리오 (초안)</t>
  </si>
  <si>
    <t xml:space="preserve">작성: KewryByun · 상태: 팀 취합 전 · 노란 칸(담당자·진행 상태)은 역할 배분 때 채웁니다. 상세 가정은 '안내' 시트 참고.</t>
  </si>
  <si>
    <t xml:space="preserve">ID</t>
  </si>
  <si>
    <t xml:space="preserve">영역</t>
  </si>
  <si>
    <t xml:space="preserve">시나리오</t>
  </si>
  <si>
    <t xml:space="preserve">유형</t>
  </si>
  <si>
    <t xml:space="preserve">우선순위</t>
  </si>
  <si>
    <t xml:space="preserve">사전 조건</t>
  </si>
  <si>
    <t xml:space="preserve">테스트 절차</t>
  </si>
  <si>
    <t xml:space="preserve">기대 결과</t>
  </si>
  <si>
    <t xml:space="preserve">자동화 메모</t>
  </si>
  <si>
    <t xml:space="preserve">담당자</t>
  </si>
  <si>
    <t xml:space="preserve">진행 상태</t>
  </si>
  <si>
    <t xml:space="preserve">FLOW-01</t>
  </si>
  <si>
    <t xml:space="preserve">전체 흐름</t>
  </si>
  <si>
    <t xml:space="preserve">로그인부터 주문 완료까지 한 번에</t>
  </si>
  <si>
    <t xml:space="preserve">정상</t>
  </si>
  <si>
    <t xml:space="preserve">P1</t>
  </si>
  <si>
    <t xml:space="preserve">앱 최초 기동(기본 마스터 데이터)</t>
  </si>
  <si>
    <t xml:space="preserve">1. admin/admin 로그인
2. 주문 추가 → 기본값(12,000K)으로 시뮬레이션 실행
3. '운항비 최소' 선택, 메모 입력 후 주문 확정
4. 상세에서 '진행(으)로 변경' → 확인
5. '완료(으)로 변경' → 확인
6. 주문 목록으로 이동</t>
  </si>
  <si>
    <t xml:space="preserve">- 확정 후 상세 화면(/orders/{id})으로 이동, 상태 '확정'
- 진행 → 완료로 차례로 바뀌고 '최종 상태라 더 바꿀 수 없습니다.' 표시
- 상태 이력 3건(확정·진행·완료)
- 목록의 '완료' 칩 건수가 1 증가, 해당 주문 상태 '완료'</t>
  </si>
  <si>
    <t xml:space="preserve">핵심 스모크. 다른 테스트와 데이터를 공유하므로 건수는 '실행 전 값 + 1'로 비교</t>
  </si>
  <si>
    <t xml:space="preserve">미착수</t>
  </si>
  <si>
    <t xml:space="preserve">AUTH-01</t>
  </si>
  <si>
    <t xml:space="preserve">로그인</t>
  </si>
  <si>
    <t xml:space="preserve">비로그인 상태로 보호 화면 접근 시 로그인으로 이동</t>
  </si>
  <si>
    <t xml:space="preserve">예외</t>
  </si>
  <si>
    <t xml:space="preserve">로그아웃 상태(새 브라우저 컨텍스트)</t>
  </si>
  <si>
    <t xml:space="preserve">1. /orders 접속
2. /orders/new, /master 도 각각 접속</t>
  </si>
  <si>
    <t xml:space="preserve">- 세 경로 모두 /login 으로 이동
- 로그인 입력 화면 표시</t>
  </si>
  <si>
    <t xml:space="preserve">컨텍스트마다 쿠키가 분리되므로 별도 정리 불필요</t>
  </si>
  <si>
    <t xml:space="preserve">AUTH-02</t>
  </si>
  <si>
    <t xml:space="preserve">올바른 계정으로 로그인</t>
  </si>
  <si>
    <t xml:space="preserve">로그아웃 상태</t>
  </si>
  <si>
    <t xml:space="preserve">1. /login 접속
2. 아이디 admin, 비밀번호 admin 입력
3. 로그인 클릭</t>
  </si>
  <si>
    <t xml:space="preserve">- /orders 로 이동
- 상단에 사용자명 'admin' 과 '로그아웃' 버튼 표시</t>
  </si>
  <si>
    <t xml:space="preserve">AUTH-03</t>
  </si>
  <si>
    <t xml:space="preserve">잘못된 계정 정보로 로그인 실패</t>
  </si>
  <si>
    <t xml:space="preserve">1. 아이디 admin / 비밀번호 틀린 값으로 로그인
2. 아이디 틀린 값 / 비밀번호 admin 으로 로그인</t>
  </si>
  <si>
    <t xml:space="preserve">- 두 경우 모두 로그인 화면 유지
- '아이디 또는 비밀번호가 올바르지 않습니다' 표시
- /orders 로 이동하지 않음</t>
  </si>
  <si>
    <t xml:space="preserve">AUTH-04</t>
  </si>
  <si>
    <t xml:space="preserve">로그아웃 후 보호 화면 접근 차단</t>
  </si>
  <si>
    <t xml:space="preserve">로그인 상태</t>
  </si>
  <si>
    <t xml:space="preserve">1. 상단 '로그아웃' 클릭
2. 브라우저에서 /orders 로 직접 이동</t>
  </si>
  <si>
    <t xml:space="preserve">- /login 으로 이동
- 다시 /orders 접속 시 /login 으로 이동(세션 만료)</t>
  </si>
  <si>
    <t xml:space="preserve">AUTH-05</t>
  </si>
  <si>
    <t xml:space="preserve">로그인 상태에서 /login 접속 시 주문 목록으로 이동</t>
  </si>
  <si>
    <t xml:space="preserve">경계</t>
  </si>
  <si>
    <t xml:space="preserve">P3</t>
  </si>
  <si>
    <t xml:space="preserve">1. /login 접속</t>
  </si>
  <si>
    <t xml:space="preserve">- /orders 로 이동</t>
  </si>
  <si>
    <t xml:space="preserve">AUTH-06</t>
  </si>
  <si>
    <t xml:space="preserve">루트(/) 접속 시 주문 목록으로 이동</t>
  </si>
  <si>
    <t xml:space="preserve">1. / 접속</t>
  </si>
  <si>
    <t xml:space="preserve">NAV-01</t>
  </si>
  <si>
    <t xml:space="preserve">공통 화면</t>
  </si>
  <si>
    <t xml:space="preserve">상단 메뉴로 화면 이동</t>
  </si>
  <si>
    <t xml:space="preserve">P2</t>
  </si>
  <si>
    <t xml:space="preserve">1. '주문 추가' 클릭
2. '마스터 데이터' 클릭
3. '주문 목록' 클릭
4. 로고('배터리 주문 관리') 클릭</t>
  </si>
  <si>
    <t xml:space="preserve">- 각각 /orders/new, /master, /orders, /orders 로 이동
- 현재 화면의 메뉴가 강조(active) 표시</t>
  </si>
  <si>
    <t xml:space="preserve">SIM-01</t>
  </si>
  <si>
    <t xml:space="preserve">주문 추가·시뮬레이션</t>
  </si>
  <si>
    <t xml:space="preserve">기본값으로 시뮬레이션 실행</t>
  </si>
  <si>
    <t xml:space="preserve">로그인 상태, 기본 마스터 데이터</t>
  </si>
  <si>
    <t xml:space="preserve">1. /orders/new 접속
2. 값을 바꾸지 않고 '시뮬레이션 실행' 클릭</t>
  </si>
  <si>
    <t xml:space="preserve">- 초기값: 총 생산 필요 수 12,000K, 중국·일본·베트남·인도네시아 각 3,000K
- 결과 영역 표시
- 경로안 3개 표시: 운항비 최소 / 가장 빠르게 / 가까운 곳부터 (각각 소요일·총 비용·운항비·배 척수)
- 기본 선택은 '운항비 최소'
- 지도 애니메이션 영역과 상세 표 표시
- '3. 주문 확정' 영역 표시</t>
  </si>
  <si>
    <t xml:space="preserve">결과 숫자(일수·비용)는 PlannerTest 가 검증하므로 E2E 에서는 표시 여부·형식 중심으로 확인</t>
  </si>
  <si>
    <t xml:space="preserve">SIM-02</t>
  </si>
  <si>
    <t xml:space="preserve">총 생산 필요 수 변경 시 4개국 균등 분배</t>
  </si>
  <si>
    <t xml:space="preserve">/orders/new 화면</t>
  </si>
  <si>
    <t xml:space="preserve">1. 총 생산 필요 수에 10000 입력(change)
2. 10001 입력</t>
  </si>
  <si>
    <t xml:space="preserve">- 10000 → 각 2,500K
- 10001 → 중국 2,501K, 나머지 2,500K(나머지는 앞 나라부터 1씩 배분)
- 합계는 항상 총 생산 필요 수와 같음</t>
  </si>
  <si>
    <t xml:space="preserve">SIM-03</t>
  </si>
  <si>
    <t xml:space="preserve">게이지 조정 시 오른쪽 나라가 반대로 조정</t>
  </si>
  <si>
    <t xml:space="preserve">기본값 12,000K(각 3,000K)</t>
  </si>
  <si>
    <t xml:space="preserve">1. 중국 수량 입력칸에 4000 입력
2. 인도네시아 수량 입력칸에 1000 입력</t>
  </si>
  <si>
    <t xml:space="preserve">- 1: 중국 4,000K, 일본 2,000K(오른쪽 나라가 반대로 조정), 합계 12,000K 유지
- 2: 인도네시아 1,000K, 중국이 조정(맨 오른쪽은 맨 왼쪽이 조정), 합계 12,000K 유지</t>
  </si>
  <si>
    <t xml:space="preserve">슬라이더(range)는 fill 이 안 되므로 숫자 입력칸으로 조작</t>
  </si>
  <si>
    <t xml:space="preserve">SIM-04</t>
  </si>
  <si>
    <t xml:space="preserve">게이지 경계값 처리(초과·음수)</t>
  </si>
  <si>
    <t xml:space="preserve">기본값 12,000K</t>
  </si>
  <si>
    <t xml:space="preserve">1. 중국 수량에 99999 입력
2. 중국 수량에 -5 입력</t>
  </si>
  <si>
    <t xml:space="preserve">- 1: 중국과 일본 합(6,000K)까지만 반영 → 중국 6,000K, 일본 0K
- 2: 0 미만은 0 으로 보정 → 중국 0K, 일본 6,000K
- 합계 항상 12,000K</t>
  </si>
  <si>
    <t xml:space="preserve">SIM-05</t>
  </si>
  <si>
    <t xml:space="preserve">게이지 아래 방문 횟수 표시</t>
  </si>
  <si>
    <t xml:space="preserve">기본 마스터 데이터(재고 상한: 중국 4,000 / 일본 2,000 / 베트남 10,000 / 인도네시아 7,000), 시뮬레이션 1회 실행 후</t>
  </si>
  <si>
    <t xml:space="preserve">1. 기본값(각 3,000K)으로 시뮬레이션 실행
2. 게이지 아래 문구 확인</t>
  </si>
  <si>
    <t xml:space="preserve">- 중국 '방문 1회', 일본 '방문 2회', 베트남 '방문 1회', 인도네시아 '방문 1회'
- 수량이 0인 나라는 '방문 0회'</t>
  </si>
  <si>
    <t xml:space="preserve">방문 횟수 = 올림(수량 / 재고 상한). 마스터 데이터를 바꾸면 기대값도 달라짐</t>
  </si>
  <si>
    <t xml:space="preserve">SIM-06</t>
  </si>
  <si>
    <t xml:space="preserve">경로안 선택 전환</t>
  </si>
  <si>
    <t xml:space="preserve">시뮬레이션 결과 표시 상태</t>
  </si>
  <si>
    <t xml:space="preserve">1. '가장 빠르게' 클릭
2. '가까운 곳부터' 클릭</t>
  </si>
  <si>
    <t xml:space="preserve">- 클릭한 경로안만 선택(강조) 상태
- 요약·상세 표·지도 애니메이션이 선택한 안으로 갱신</t>
  </si>
  <si>
    <t xml:space="preserve">SIM-07</t>
  </si>
  <si>
    <t xml:space="preserve">입력을 바꾸면 이전 결과가 사라짐</t>
  </si>
  <si>
    <t xml:space="preserve">1. 게이지 값 또는 총 생산 필요 수를 변경</t>
  </si>
  <si>
    <t xml:space="preserve">- 결과 영역(경로안·확정 영역)이 숨겨짐 → 변경된 입력으로 다시 실행해야 확정 가능</t>
  </si>
  <si>
    <t xml:space="preserve">오래된 결과로 확정되는 것을 막는 동작</t>
  </si>
  <si>
    <t xml:space="preserve">SIM-08</t>
  </si>
  <si>
    <t xml:space="preserve">총 생산 필요 수가 1 미만이면 이전 값 유지</t>
  </si>
  <si>
    <t xml:space="preserve">1. 총 생산 필요 수에 0 입력(change)
2. 빈 값으로 지움</t>
  </si>
  <si>
    <t xml:space="preserve">- 입력칸이 직전 값(12,000)으로 되돌아감
- 게이지 값 변화 없음</t>
  </si>
  <si>
    <t xml:space="preserve">SIM-09</t>
  </si>
  <si>
    <t xml:space="preserve">총 수량 상한(100,000K) 초과</t>
  </si>
  <si>
    <t xml:space="preserve">1. 총 생산 필요 수에 100000 입력 후 시뮬레이션 실행
2. 100001 입력 후 시뮬레이션 실행</t>
  </si>
  <si>
    <t xml:space="preserve">- 100000: 정상적으로 결과 표시
- 100001: 결과 없이 '총 생산 필요 수는 100,000K 이하여야 합니다' 오류 표시</t>
  </si>
  <si>
    <t xml:space="preserve">입력칸 max 속성이 있어도 JS 는 막지 않으므로 서버 오류 메시지로 확인</t>
  </si>
  <si>
    <t xml:space="preserve">SIM-10</t>
  </si>
  <si>
    <t xml:space="preserve">수량이 0인 나라가 있어도 시뮬레이션</t>
  </si>
  <si>
    <t xml:space="preserve">1. 중국 수량을 6000 으로 조정(일본 0K)
2. 시뮬레이션 실행</t>
  </si>
  <si>
    <t xml:space="preserve">- 오류 없이 3개 경로안 표시
- 일본은 방문하지 않음(결과 상세에 일본 수거 없음)</t>
  </si>
  <si>
    <t xml:space="preserve">상세 표 구조는 구현 시 확인</t>
  </si>
  <si>
    <t xml:space="preserve">SIM-11</t>
  </si>
  <si>
    <t xml:space="preserve">시뮬레이션 전에는 주문 확정 영역이 보이지 않음</t>
  </si>
  <si>
    <t xml:space="preserve">/orders/new 최초 진입</t>
  </si>
  <si>
    <t xml:space="preserve">1. 화면 확인</t>
  </si>
  <si>
    <t xml:space="preserve">- '시뮬레이션 실행' 버튼만 보이고 결과·'3. 주문 확정' 영역은 숨김</t>
  </si>
  <si>
    <t xml:space="preserve">ORD-01</t>
  </si>
  <si>
    <t xml:space="preserve">주문 확정</t>
  </si>
  <si>
    <t xml:space="preserve">경로안 선택 후 메모와 함께 확정</t>
  </si>
  <si>
    <t xml:space="preserve">1. '가장 빠르게' 선택
2. 메모에 '3분기 긴급 물량' 입력
3. '주문 확정' 클릭</t>
  </si>
  <si>
    <t xml:space="preserve">- /orders/{id} 상세로 이동
- 상태 '확정', 경로 '가장 빠르게', 메모 '3분기 긴급 물량', 작성자 admin
- 상태 이력 1건(이전 '-' → '확정', admin)</t>
  </si>
  <si>
    <t xml:space="preserve">ORD-02</t>
  </si>
  <si>
    <t xml:space="preserve">메모 없이 확정</t>
  </si>
  <si>
    <t xml:space="preserve">1. 메모를 비워 둔 채 '주문 확정' 클릭</t>
  </si>
  <si>
    <t xml:space="preserve">- 확정 성공, 상세 메모 칸에 '-' 표시</t>
  </si>
  <si>
    <t xml:space="preserve">ORD-03</t>
  </si>
  <si>
    <t xml:space="preserve">3가지 경로안 각각 확정 시 선택한 안이 저장됨</t>
  </si>
  <si>
    <t xml:space="preserve">시뮬레이션 결과 표시 상태(경로안별로 반복)</t>
  </si>
  <si>
    <t xml:space="preserve">1. '운항비 최소' 확정
2. 같은 방법으로 '가장 빠르게', '가까운 곳부터' 확정</t>
  </si>
  <si>
    <t xml:space="preserve">- 각 주문 상세의 '경로'가 선택한 경로안 이름과 일치
- 상세의 소요일·비용이 확정 직전 결과 화면과 일치</t>
  </si>
  <si>
    <t xml:space="preserve">데이터 기반 테스트(경로안 3종 반복)로 구현</t>
  </si>
  <si>
    <t xml:space="preserve">ORD-04</t>
  </si>
  <si>
    <t xml:space="preserve">확정 직후 주문 목록에 반영</t>
  </si>
  <si>
    <t xml:space="preserve">주문 1건 확정 완료</t>
  </si>
  <si>
    <t xml:space="preserve">1. 주문 목록으로 이동</t>
  </si>
  <si>
    <t xml:space="preserve">- 최상단에 방금 확정한 주문 표시(번호 내림차순)
- 확정 일시, 총 수량(천 단위 콤마), 경로, 소요 일수, 총 비용(억원), 상태 '확정', 작성자 admin
- '전체'·'확정' 칩 건수가 1 증가</t>
  </si>
  <si>
    <t xml:space="preserve">ORD-05</t>
  </si>
  <si>
    <t xml:space="preserve">메모 입력 글자 수 제한(1,000자)</t>
  </si>
  <si>
    <t xml:space="preserve">1. 메모에 1,001자 입력</t>
  </si>
  <si>
    <t xml:space="preserve">- 입력칸이 1,000자까지만 받음(maxlength)
- 확정 시 메모 1,000자로 저장</t>
  </si>
  <si>
    <t xml:space="preserve">서버 검증(1,000자 초과 시 400)은 API 테스트 영역</t>
  </si>
  <si>
    <t xml:space="preserve">ORD-06</t>
  </si>
  <si>
    <t xml:space="preserve">시뮬레이션 이후 마스터 데이터가 바뀌면 확정 거부(충돌)</t>
  </si>
  <si>
    <t xml:space="preserve">기본 마스터 데이터. 브라우저 탭 2개(같은 로그인 세션)</t>
  </si>
  <si>
    <t xml:space="preserve">1. 탭 A: 주문 추가에서 시뮬레이션 실행(확정하지 않음)
2. 탭 B: 마스터 데이터에서 값 하나 변경 후 저장
3. 탭 A: '주문 확정' 클릭</t>
  </si>
  <si>
    <t xml:space="preserve">- 확정되지 않음
- '시뮬레이션 이후 마스터 데이터가 바뀌었습니다. 다시 시뮬레이션해 주세요' 오류 표시
- 다시 시뮬레이션 실행 후에는 확정 성공</t>
  </si>
  <si>
    <t xml:space="preserve">같은 context 에서 page 2개 생성. 마스터를 바꾸므로 이후 테스트에 영향 → 마지막에 원복하거나 별도 실행</t>
  </si>
  <si>
    <t xml:space="preserve">ORD-07</t>
  </si>
  <si>
    <t xml:space="preserve">확정된 주문 상세에 저장된 계획 표시</t>
  </si>
  <si>
    <t xml:space="preserve">1. 상세 화면 확인</t>
  </si>
  <si>
    <t xml:space="preserve">- 요약, 상세 표, '지도 애니메이션(저장된 계획)' 영역 표시
- 새로고침해도 같은 내용(저장된 계획 사용)</t>
  </si>
  <si>
    <t xml:space="preserve">LST-01</t>
  </si>
  <si>
    <t xml:space="preserve">주문 목록</t>
  </si>
  <si>
    <t xml:space="preserve">목록 화면 기본 구성</t>
  </si>
  <si>
    <t xml:space="preserve">1. /orders 접속</t>
  </si>
  <si>
    <t xml:space="preserve">- 제목 '주문 목록', '주문 추가' 버튼
- 필터 칩: 전체 / 확정 / 진행 / 완료 / 취소 (각 건수)
- 표 헤더: 주문번호, 확정 일시, 총 수량(K), 경로, 소요 일수, 총 비용(억원), 상태, 작성자</t>
  </si>
  <si>
    <t xml:space="preserve">LST-02</t>
  </si>
  <si>
    <t xml:space="preserve">주문이 없을 때 빈 목록 문구</t>
  </si>
  <si>
    <t xml:space="preserve">주문 0건(앱을 새로 띄운 직후 첫 테스트로 실행)</t>
  </si>
  <si>
    <t xml:space="preserve">- '주문이 없습니다.' 표시
- 전체·상태별 건수 모두 0</t>
  </si>
  <si>
    <t xml:space="preserve">테스트 순서에 의존하므로 파일 맨 앞에서 실행하거나 별도 프로젝트로 분리</t>
  </si>
  <si>
    <t xml:space="preserve">LST-03</t>
  </si>
  <si>
    <t xml:space="preserve">상태 필터</t>
  </si>
  <si>
    <t xml:space="preserve">확정·진행·완료 상태의 주문이 각각 1건 이상</t>
  </si>
  <si>
    <t xml:space="preserve">1. '진행' 칩 클릭
2. '완료' 칩 클릭
3. '전체' 칩 클릭</t>
  </si>
  <si>
    <t xml:space="preserve">- 1: 진행 상태 주문만 표시, '진행' 칩 강조, URL 에 status=IN_PROGRESS
- 2: 완료 상태 주문만 표시
- 3: 모든 주문 표시</t>
  </si>
  <si>
    <t xml:space="preserve">사전 데이터는 테스트 안에서 직접 생성</t>
  </si>
  <si>
    <t xml:space="preserve">LST-04</t>
  </si>
  <si>
    <t xml:space="preserve">행 클릭 시 상세로 이동</t>
  </si>
  <si>
    <t xml:space="preserve">주문 1건 이상</t>
  </si>
  <si>
    <t xml:space="preserve">1. 목록에서 주문 행(번호 링크가 아닌 다른 칸)을 클릭</t>
  </si>
  <si>
    <t xml:space="preserve">- 해당 주문 상세(/orders/{id})로 이동</t>
  </si>
  <si>
    <t xml:space="preserve">LST-05</t>
  </si>
  <si>
    <t xml:space="preserve">'주문 추가' 버튼으로 이동</t>
  </si>
  <si>
    <t xml:space="preserve">1. 목록의 '주문 추가' 클릭</t>
  </si>
  <si>
    <t xml:space="preserve">- /orders/new 로 이동</t>
  </si>
  <si>
    <t xml:space="preserve">LST-06</t>
  </si>
  <si>
    <t xml:space="preserve">건수 집계가 실제 목록과 일치</t>
  </si>
  <si>
    <t xml:space="preserve">주문 여러 건(상태 혼합)</t>
  </si>
  <si>
    <t xml:space="preserve">1. 각 칩의 건수와 필터 결과의 행 수를 비교</t>
  </si>
  <si>
    <t xml:space="preserve">- 칩 건수 = 필터링된 행 수
- 전체 = 상태별 건수의 합</t>
  </si>
  <si>
    <t xml:space="preserve">STS-01</t>
  </si>
  <si>
    <t xml:space="preserve">주문 상태</t>
  </si>
  <si>
    <t xml:space="preserve">확정 상태에서 가능한 변경 버튼</t>
  </si>
  <si>
    <t xml:space="preserve">확정 상태 주문</t>
  </si>
  <si>
    <t xml:space="preserve">- '진행(으)로 변경', '취소(으)로 변경' 버튼만 표시
- '완료(으)로 변경' 버튼 없음(확정 → 완료 불가)</t>
  </si>
  <si>
    <t xml:space="preserve">STS-02</t>
  </si>
  <si>
    <t xml:space="preserve">확정 → 진행 변경</t>
  </si>
  <si>
    <t xml:space="preserve">1. '진행(으)로 변경' 클릭
2. 확인창 '진행(으)로 바꿉니다. 계속할까요?' 수락</t>
  </si>
  <si>
    <t xml:space="preserve">- '상태를 '진행'(으)로 바꿨습니다' 메시지
- 배지 '진행'
- 상태 이력 2건(확정 → 진행, admin)
- 버튼: '완료(으)로 변경', '취소(으)로 변경'</t>
  </si>
  <si>
    <t xml:space="preserve">page.on('dialog') 로 확인창 처리</t>
  </si>
  <si>
    <t xml:space="preserve">STS-03</t>
  </si>
  <si>
    <t xml:space="preserve">진행 → 완료 변경 후 최종 상태</t>
  </si>
  <si>
    <t xml:space="preserve">진행 상태 주문</t>
  </si>
  <si>
    <t xml:space="preserve">1. '완료(으)로 변경' 클릭 후 확인창 수락</t>
  </si>
  <si>
    <t xml:space="preserve">- 배지 '완료'
- 변경 버튼 없음, '최종 상태라 더 바꿀 수 없습니다.' 표시
- 상태 이력 3건</t>
  </si>
  <si>
    <t xml:space="preserve">STS-04</t>
  </si>
  <si>
    <t xml:space="preserve">확인창에서 취소하면 상태가 바뀌지 않음</t>
  </si>
  <si>
    <t xml:space="preserve">1. '진행(으)로 변경' 클릭
2. 확인창 '취소(Dismiss)'</t>
  </si>
  <si>
    <t xml:space="preserve">- 상태 '확정' 유지, 이력 1건 그대로, 안내 메시지 없음</t>
  </si>
  <si>
    <t xml:space="preserve">STS-05</t>
  </si>
  <si>
    <t xml:space="preserve">확정 상태에서 취소</t>
  </si>
  <si>
    <t xml:space="preserve">1. '취소(으)로 변경' 클릭 후 확인창 수락</t>
  </si>
  <si>
    <t xml:space="preserve">[PPT·PRD 기준 기대] 주문이 '취소' 상태로 남고, 상세에서 배지 '취소'·'최종 상태라 더 바꿀 수 없습니다.' 표시, 목록의 '취소' 칩 건수 +1
[현재 동작] 주문이 삭제되고 삭제된 주문의 상세로 이동하다 오류 화면 발생(목록 '취소' 건수는 항상 0)</t>
  </si>
  <si>
    <t xml:space="preserve">결함 후보(INTENT §6-1). 기대 결과가 확정되기 전까지 test.fixme 로 표시하거나 팀 합의 후 작성</t>
  </si>
  <si>
    <t xml:space="preserve">STS-06</t>
  </si>
  <si>
    <t xml:space="preserve">진행 상태에서 취소</t>
  </si>
  <si>
    <t xml:space="preserve">STS-05 와 동일(진행 상태에서의 취소)</t>
  </si>
  <si>
    <t xml:space="preserve">결함 후보. STS-05 와 함께 처리</t>
  </si>
  <si>
    <t xml:space="preserve">STS-07</t>
  </si>
  <si>
    <t xml:space="preserve">완료된 주문은 더 이상 변경 불가</t>
  </si>
  <si>
    <t xml:space="preserve">완료 상태 주문</t>
  </si>
  <si>
    <t xml:space="preserve">- 상태 변경 버튼이 하나도 없음
- '최종 상태라 더 바꿀 수 없습니다.' 표시</t>
  </si>
  <si>
    <t xml:space="preserve">STS-08</t>
  </si>
  <si>
    <t xml:space="preserve">두 탭에서 같은 주문을 변경하면 나중 요청은 충돌</t>
  </si>
  <si>
    <t xml:space="preserve">확정 상태 주문. 같은 주문 상세를 탭 A·B 에서 모두 연 상태</t>
  </si>
  <si>
    <t xml:space="preserve">1. 탭 A: '진행(으)로 변경' 수락
2. 탭 B(새로고침하지 않음): '취소(으)로 변경' 또는 '진행(으)로 변경' 수락</t>
  </si>
  <si>
    <t xml:space="preserve">- 탭 B 는 변경되지 않고 '다른 사용자가 먼저 이 주문을 변경했습니다. 화면을 새로 고쳐 현재 상태를 확인한 뒤 다시 시도해 주세요' 표시
- 주문 상태는 탭 A 의 결과('진행') 유지
- 이력에 탭 B 의 변경이 남지 않음</t>
  </si>
  <si>
    <t xml:space="preserve">STS-05 결함이 고쳐지기 전에는 탭 B 동작으로 '진행(으)로 변경'을 사용</t>
  </si>
  <si>
    <t xml:space="preserve">STS-09</t>
  </si>
  <si>
    <t xml:space="preserve">존재하지 않는 주문 상세 접근</t>
  </si>
  <si>
    <t xml:space="preserve">1. /orders/999999 접속</t>
  </si>
  <si>
    <t xml:space="preserve">[이상적 기대] 안내 메시지('주문을 찾을 수 없습니다')
[현재 동작] 예외 처리기가 없어 오류 화면(500)으로 보일 것으로 추정 — 확인 필요</t>
  </si>
  <si>
    <t xml:space="preserve">결함 후보. 실제 응답을 먼저 확인한 뒤 기대 결과를 확정</t>
  </si>
  <si>
    <t xml:space="preserve">MST-01</t>
  </si>
  <si>
    <t xml:space="preserve">마스터 데이터</t>
  </si>
  <si>
    <t xml:space="preserve">기본 마스터 데이터 표시</t>
  </si>
  <si>
    <t xml:space="preserve">앱 최초 기동</t>
  </si>
  <si>
    <t xml:space="preserve">1. /master 접속</t>
  </si>
  <si>
    <t xml:space="preserve">- 공장 4곳(중국·일본·베트남·인도네시아)의 하루 최대 생산량·재고 상한·셀당 원가가 기본값으로 표시
  (중국 400/4,000/700, 일본 800/2,000/900, 베트남 200/10,000/550, 인도네시아 300/7,000/450)
- 배 척수 3, 척당 일 운항비 1
- 항로 표(한국–중국 1일 등)에 기본 항해 일수</t>
  </si>
  <si>
    <t xml:space="preserve">다른 테스트가 마스터를 바꾸면 기본값이 달라지므로 마스터 변경 테스트는 원복하거나 마지막에 실행</t>
  </si>
  <si>
    <t xml:space="preserve">MST-02</t>
  </si>
  <si>
    <t xml:space="preserve">값 수정 후 저장</t>
  </si>
  <si>
    <t xml:space="preserve">/master 화면</t>
  </si>
  <si>
    <t xml:space="preserve">1. 중국 하루 최대 생산량을 500 으로 변경
2. '저장' 클릭</t>
  </si>
  <si>
    <t xml:space="preserve">- '마스터 데이터를 저장했습니다' 메시지
- 새로고침 후에도 500 유지</t>
  </si>
  <si>
    <t xml:space="preserve">테스트 끝에 원래 값(400)으로 되돌림</t>
  </si>
  <si>
    <t xml:space="preserve">MST-03</t>
  </si>
  <si>
    <t xml:space="preserve">빈 값 저장 시 오류 목록 표시·저장 안 됨</t>
  </si>
  <si>
    <t xml:space="preserve">1. 중국 재고 상한을 비움
2. 일본 셀당 원가를 비움
3. '저장' 클릭</t>
  </si>
  <si>
    <t xml:space="preserve">- '저장하지 않았습니다. 아래 값을 확인하세요.' 와 오류 사유 2개 이상을 한 번에 표시(예: '중국 재고 상한은(는) 정수로 입력하세요')
- 다른 입력칸의 값은 그대로 유지
- 다시 접속하면 기존 값(저장되지 않음)</t>
  </si>
  <si>
    <t xml:space="preserve">숫자칸 0·범위 초과는 브라우저 검증(min/max)이 서버보다 먼저 막으므로, 서버 검증은 빈 값이나 운항비(텍스트칸)로 확인</t>
  </si>
  <si>
    <t xml:space="preserve">MST-04</t>
  </si>
  <si>
    <t xml:space="preserve">일부만 틀려도 아무것도 저장하지 않음</t>
  </si>
  <si>
    <t xml:space="preserve">1. 중국 하루 최대 생산량을 500 으로 변경(올바른 값)
2. 일본 재고 상한을 비움(틀린 값)
3. '저장' 클릭
4. /master 를 새로 열어 확인</t>
  </si>
  <si>
    <t xml:space="preserve">- 오류 표시
- 새로 연 화면에서 중국 하루 최대 생산량은 원래 값(400) — 올바른 값도 저장되지 않음</t>
  </si>
  <si>
    <t xml:space="preserve">전부 저장 또는 전부 미저장 규칙</t>
  </si>
  <si>
    <t xml:space="preserve">MST-05</t>
  </si>
  <si>
    <t xml:space="preserve">척당 일 운항비 입력 검증</t>
  </si>
  <si>
    <t xml:space="preserve">1. 운항비에 0 입력 후 저장
2. abc 입력 후 저장
3. 0.123456789 입력 후 저장
4. 1.5 입력 후 저장</t>
  </si>
  <si>
    <t xml:space="preserve">- 0: '척당 일 운항비는 0보다 커야 합니다'
- abc: '척당 일 운항비(억 원)는 숫자로 입력하세요'
- 0.123456789: 원 단위로 떨어지지 않는다는 오류
- 1.5: 저장 성공(1.5억 원 = 150,000,000원)</t>
  </si>
  <si>
    <t xml:space="preserve">운항비 입력칸은 type=text 라 브라우저 검증이 없음</t>
  </si>
  <si>
    <t xml:space="preserve">MST-06</t>
  </si>
  <si>
    <t xml:space="preserve">배 척수 범위(1~4)</t>
  </si>
  <si>
    <t xml:space="preserve">1. 배 척수에 1 저장
2. 4 저장
3. 5 입력 시도
4. 0 입력 시도</t>
  </si>
  <si>
    <t xml:space="preserve">- 1, 4: 저장 성공
- 5, 0: 브라우저 검증(max=4, min=1)이 제출을 막음(서버로 전송되지 않음)</t>
  </si>
  <si>
    <t xml:space="preserve">서버 오류 메시지는 API 테스트에서 확인</t>
  </si>
  <si>
    <t xml:space="preserve">MST-07</t>
  </si>
  <si>
    <t xml:space="preserve">저장한 마스터 값이 이후 시뮬레이션에 반영</t>
  </si>
  <si>
    <t xml:space="preserve">1. 배 척수를 1 로 저장
2. 주문 추가에서 시뮬레이션 실행</t>
  </si>
  <si>
    <t xml:space="preserve">- 모든 경로안의 '배 N척' 이 1척
- (테스트 후 3척으로 원복)</t>
  </si>
  <si>
    <t xml:space="preserve">마스터 변경 테스트는 직렬 실행(workers=1)이라 안전하지만 원복 필수</t>
  </si>
  <si>
    <t xml:space="preserve">MST-08</t>
  </si>
  <si>
    <t xml:space="preserve">재고 상한 변경 시 방문 횟수 변경</t>
  </si>
  <si>
    <t xml:space="preserve">1. 일본 재고 상한을 3000 으로 저장
2. 기본값(일본 3,000K)으로 시뮬레이션 실행</t>
  </si>
  <si>
    <t xml:space="preserve">- 일본 '방문 1회'(기존 2회)</t>
  </si>
  <si>
    <t xml:space="preserve">원복 필수</t>
  </si>
  <si>
    <t xml:space="preserve">MST-09</t>
  </si>
  <si>
    <t xml:space="preserve">항로 일수 변경 시 소요일 증가</t>
  </si>
  <si>
    <t xml:space="preserve">/master 화면, 중국만 주문(예: 중국 3,000K)</t>
  </si>
  <si>
    <t xml:space="preserve">1. 한국–중국 항해 일수를 1 → 5 로 저장
2. 시뮬레이션 실행</t>
  </si>
  <si>
    <t xml:space="preserve">- 변경 전보다 총 소요일이 증가(왕복이 길어짐)</t>
  </si>
  <si>
    <t xml:space="preserve">정확한 일수는 단위 테스트에서 검증. 원복 필수</t>
  </si>
  <si>
    <t xml:space="preserve">MST-10</t>
  </si>
  <si>
    <t xml:space="preserve">마스터 변경은 이미 확정된 주문의 계획을 바꾸지 않음</t>
  </si>
  <si>
    <t xml:space="preserve">마스터 기본값</t>
  </si>
  <si>
    <t xml:space="preserve">1. 주문 1건 확정(소요일·총 비용 기록)
2. 마스터에서 배 척수·운항비·원가 변경 후 저장
3. 해당 주문 상세 다시 열기</t>
  </si>
  <si>
    <t xml:space="preserve">- 상세의 소요일·총 비용·경로가 변경 전과 동일
- 새 시뮬레이션은 변경된 값으로 계산됨</t>
  </si>
  <si>
    <t xml:space="preserve">시나리오 현황 요약</t>
  </si>
  <si>
    <t xml:space="preserve">'시나리오' 시트의 값으로 자동 계산됩니다(수식).</t>
  </si>
  <si>
    <t xml:space="preserve">영역별</t>
  </si>
  <si>
    <t xml:space="preserve">건수</t>
  </si>
  <si>
    <t xml:space="preserve">합계</t>
  </si>
  <si>
    <t xml:space="preserve">우선순위별</t>
  </si>
  <si>
    <t xml:space="preserve">유형별</t>
  </si>
  <si>
    <t xml:space="preserve">진행 상태별</t>
  </si>
  <si>
    <t xml:space="preserve">작성중</t>
  </si>
  <si>
    <t xml:space="preserve">작성완료</t>
  </si>
  <si>
    <t xml:space="preserve">실행완료</t>
  </si>
  <si>
    <t xml:space="preserve">보류</t>
  </si>
  <si>
    <t xml:space="preserve">담당자 미배정</t>
  </si>
  <si>
    <t xml:space="preserve">안내 — 작성 기준과 가정</t>
  </si>
  <si>
    <t xml:space="preserve">작성 기준</t>
  </si>
  <si>
    <t xml:space="preserve">범위</t>
  </si>
  <si>
    <t xml:space="preserve">브라우저에서 사용자가 하는 주요 흐름(로그인, 주문 입력·시뮬레이션, 확정, 목록, 상태 변경, 마스터 데이터)을 Playwright 로 검증한다. 경로 계산의 정확한 숫자는 PlannerTest(단위 테스트)가 검증하므로, E2E 는 화면 표시·흐름·오류 메시지 중심으로 본다.</t>
  </si>
  <si>
    <t xml:space="preserve">P1: 핵심 흐름·데이터 정합성(먼저 구현) / P2: 주요 보조 기능 / P3: 경계·편의 기능</t>
  </si>
  <si>
    <t xml:space="preserve">정상: 정상 흐름 / 예외: 오류·거부·충돌 / 경계: 한계값·특수 입력</t>
  </si>
  <si>
    <t xml:space="preserve">근거</t>
  </si>
  <si>
    <t xml:space="preserve">화면 템플릿과 JS(order-new.js, master.html 등)와 서비스 코드를 읽고 실제 문구·동작을 기준으로 작성했다. 문구는 현재 구현 기준이므로 화면이 바뀌면 함께 수정한다.</t>
  </si>
  <si>
    <t xml:space="preserve">실행 환경 (e2e/ 폴더)</t>
  </si>
  <si>
    <t xml:space="preserve">앱 기동</t>
  </si>
  <si>
    <t xml:space="preserve">playwright.config.ts 가 앱을 8081 포트 + 인메모리 DB 로 자동 기동한다. 개발용 8080 앱·data/battery 파일과 분리되어 있고, 실행할 때마다 기본 마스터 데이터로 시작한다.</t>
  </si>
  <si>
    <t xml:space="preserve">순차 실행</t>
  </si>
  <si>
    <t xml:space="preserve">같은 DB 를 공유하므로 workers=1 로 순서대로 실행한다. 주문 건수·상태 건수는 다른 테스트의 영향을 받으므로 '실행 전 값 + 1' 같은 상대 비교를 쓰고, 필요한 주문은 테스트 안에서 직접 만든다.</t>
  </si>
  <si>
    <t xml:space="preserve">마스터 원복</t>
  </si>
  <si>
    <t xml:space="preserve">마스터 데이터를 바꾸는 테스트(MST-02·07~10, ORD-06)는 끝에서 원래 값으로 되돌려야 한다. 되돌리지 않으면 이후 테스트의 기본값 기대(방문 횟수 등)가 깨진다.</t>
  </si>
  <si>
    <t xml:space="preserve">브라우저 검증</t>
  </si>
  <si>
    <t xml:space="preserve">마스터 화면의 숫자 칸은 min/max 속성이 있어 0·범위 초과는 브라우저가 제출을 막는다. 서버 오류 메시지는 빈 값이나 운항비(텍스트 칸)로 확인한다.</t>
  </si>
  <si>
    <t xml:space="preserve">확인 필요 (결함 후보)</t>
  </si>
  <si>
    <t xml:space="preserve">취소 동작 (STS-05, 06)</t>
  </si>
  <si>
    <t xml:space="preserve">현재 코드는 취소 시 주문을 삭제하고 삭제된 주문 상세로 이동하다 오류가 난다(INTENT §6-1, 임시 테스트로 확인). PPT 기준 기대 결과는 '취소 상태로 남음'. 팀 합의 전에는 test.fixme 처리.</t>
  </si>
  <si>
    <t xml:space="preserve">없는 주문 접근 (STS-09)</t>
  </si>
  <si>
    <t xml:space="preserve">예외 처리기가 없어 오류 화면이 될 것으로 보이나 E2E 로 직접 확인하지 않았다. 실제 응답을 확인한 뒤 기대 결과를 정한다.</t>
  </si>
  <si>
    <t xml:space="preserve">제외한 것</t>
  </si>
  <si>
    <t xml:space="preserve">API 단독 검증</t>
  </si>
  <si>
    <t xml:space="preserve">400/401/409 응답 본문, 메모 1,000자 초과 서버 검증 등은 API 테스트(request fixture) 또는 기존 OrderFlowTests 영역으로 본다.</t>
  </si>
  <si>
    <t xml:space="preserve">지도 애니메이션</t>
  </si>
  <si>
    <t xml:space="preserve">재생·타이밍은 불안정하므로 영역 표시 여부만 본다.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</si>
</sst>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맑은 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algun Gothic"/>
      <family val="0"/>
      <charset val="1"/>
    </font>
    <font>
      <sz val="9"/>
      <color rgb="FF595959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name val="Malgun Gothic"/>
      <family val="0"/>
      <charset val="1"/>
    </font>
    <font>
      <sz val="10"/>
      <name val="Malgun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14.68"/>
    <col collapsed="false" customWidth="true" hidden="false" outlineLevel="0" max="3" min="3" style="0" width="31.19"/>
    <col collapsed="false" customWidth="true" hidden="false" outlineLevel="0" max="4" min="4" style="0" width="7.34"/>
    <col collapsed="false" customWidth="true" hidden="false" outlineLevel="0" max="5" min="5" style="0" width="8.26"/>
    <col collapsed="false" customWidth="true" hidden="false" outlineLevel="0" max="6" min="6" style="0" width="27.52"/>
    <col collapsed="false" customWidth="true" hidden="false" outlineLevel="0" max="7" min="7" style="0" width="42.2"/>
    <col collapsed="false" customWidth="true" hidden="false" outlineLevel="0" max="8" min="8" style="0" width="53.21"/>
    <col collapsed="false" customWidth="true" hidden="false" outlineLevel="0" max="9" min="9" style="0" width="36.7"/>
    <col collapsed="false" customWidth="true" hidden="false" outlineLevel="0" max="11" min="10" style="0" width="9.17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77.6" hidden="false" customHeight="false" outlineLevel="0" collapsed="false">
      <c r="A5" s="4" t="s">
        <v>13</v>
      </c>
      <c r="B5" s="5" t="s">
        <v>14</v>
      </c>
      <c r="C5" s="6" t="s">
        <v>15</v>
      </c>
      <c r="D5" s="7" t="s">
        <v>16</v>
      </c>
      <c r="E5" s="7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8"/>
      <c r="K5" s="8" t="s">
        <v>22</v>
      </c>
    </row>
    <row r="6" customFormat="false" ht="26.85" hidden="false" customHeight="false" outlineLevel="0" collapsed="false">
      <c r="A6" s="9" t="s">
        <v>23</v>
      </c>
      <c r="B6" s="10" t="s">
        <v>24</v>
      </c>
      <c r="C6" s="11" t="s">
        <v>25</v>
      </c>
      <c r="D6" s="12" t="s">
        <v>26</v>
      </c>
      <c r="E6" s="12" t="s">
        <v>17</v>
      </c>
      <c r="F6" s="10" t="s">
        <v>27</v>
      </c>
      <c r="G6" s="10" t="s">
        <v>28</v>
      </c>
      <c r="H6" s="10" t="s">
        <v>29</v>
      </c>
      <c r="I6" s="10" t="s">
        <v>30</v>
      </c>
      <c r="J6" s="8"/>
      <c r="K6" s="8" t="s">
        <v>22</v>
      </c>
    </row>
    <row r="7" customFormat="false" ht="39.55" hidden="false" customHeight="false" outlineLevel="0" collapsed="false">
      <c r="A7" s="4" t="s">
        <v>31</v>
      </c>
      <c r="B7" s="5" t="s">
        <v>24</v>
      </c>
      <c r="C7" s="6" t="s">
        <v>32</v>
      </c>
      <c r="D7" s="7" t="s">
        <v>16</v>
      </c>
      <c r="E7" s="7" t="s">
        <v>17</v>
      </c>
      <c r="F7" s="5" t="s">
        <v>33</v>
      </c>
      <c r="G7" s="5" t="s">
        <v>34</v>
      </c>
      <c r="H7" s="5" t="s">
        <v>35</v>
      </c>
      <c r="I7" s="5"/>
      <c r="J7" s="8"/>
      <c r="K7" s="8" t="s">
        <v>22</v>
      </c>
    </row>
    <row r="8" customFormat="false" ht="39.55" hidden="false" customHeight="false" outlineLevel="0" collapsed="false">
      <c r="A8" s="9" t="s">
        <v>36</v>
      </c>
      <c r="B8" s="10" t="s">
        <v>24</v>
      </c>
      <c r="C8" s="11" t="s">
        <v>37</v>
      </c>
      <c r="D8" s="12" t="s">
        <v>26</v>
      </c>
      <c r="E8" s="12" t="s">
        <v>17</v>
      </c>
      <c r="F8" s="10" t="s">
        <v>33</v>
      </c>
      <c r="G8" s="10" t="s">
        <v>38</v>
      </c>
      <c r="H8" s="10" t="s">
        <v>39</v>
      </c>
      <c r="I8" s="10"/>
      <c r="J8" s="8"/>
      <c r="K8" s="8" t="s">
        <v>22</v>
      </c>
    </row>
    <row r="9" customFormat="false" ht="26.85" hidden="false" customHeight="false" outlineLevel="0" collapsed="false">
      <c r="A9" s="4" t="s">
        <v>40</v>
      </c>
      <c r="B9" s="5" t="s">
        <v>24</v>
      </c>
      <c r="C9" s="6" t="s">
        <v>41</v>
      </c>
      <c r="D9" s="7" t="s">
        <v>16</v>
      </c>
      <c r="E9" s="7" t="s">
        <v>17</v>
      </c>
      <c r="F9" s="5" t="s">
        <v>42</v>
      </c>
      <c r="G9" s="5" t="s">
        <v>43</v>
      </c>
      <c r="H9" s="5" t="s">
        <v>44</v>
      </c>
      <c r="I9" s="5"/>
      <c r="J9" s="8"/>
      <c r="K9" s="8" t="s">
        <v>22</v>
      </c>
    </row>
    <row r="10" customFormat="false" ht="26.85" hidden="false" customHeight="false" outlineLevel="0" collapsed="false">
      <c r="A10" s="9" t="s">
        <v>45</v>
      </c>
      <c r="B10" s="10" t="s">
        <v>24</v>
      </c>
      <c r="C10" s="11" t="s">
        <v>46</v>
      </c>
      <c r="D10" s="12" t="s">
        <v>47</v>
      </c>
      <c r="E10" s="12" t="s">
        <v>48</v>
      </c>
      <c r="F10" s="10" t="s">
        <v>42</v>
      </c>
      <c r="G10" s="10" t="s">
        <v>49</v>
      </c>
      <c r="H10" s="10" t="s">
        <v>50</v>
      </c>
      <c r="I10" s="10"/>
      <c r="J10" s="8"/>
      <c r="K10" s="8" t="s">
        <v>22</v>
      </c>
    </row>
    <row r="11" customFormat="false" ht="15" hidden="false" customHeight="false" outlineLevel="0" collapsed="false">
      <c r="A11" s="4" t="s">
        <v>51</v>
      </c>
      <c r="B11" s="5" t="s">
        <v>24</v>
      </c>
      <c r="C11" s="6" t="s">
        <v>52</v>
      </c>
      <c r="D11" s="7" t="s">
        <v>16</v>
      </c>
      <c r="E11" s="7" t="s">
        <v>48</v>
      </c>
      <c r="F11" s="5" t="s">
        <v>42</v>
      </c>
      <c r="G11" s="5" t="s">
        <v>53</v>
      </c>
      <c r="H11" s="5" t="s">
        <v>50</v>
      </c>
      <c r="I11" s="5"/>
      <c r="J11" s="8"/>
      <c r="K11" s="8" t="s">
        <v>22</v>
      </c>
    </row>
    <row r="12" customFormat="false" ht="52.2" hidden="false" customHeight="false" outlineLevel="0" collapsed="false">
      <c r="A12" s="9" t="s">
        <v>54</v>
      </c>
      <c r="B12" s="10" t="s">
        <v>55</v>
      </c>
      <c r="C12" s="11" t="s">
        <v>56</v>
      </c>
      <c r="D12" s="12" t="s">
        <v>16</v>
      </c>
      <c r="E12" s="12" t="s">
        <v>57</v>
      </c>
      <c r="F12" s="10" t="s">
        <v>42</v>
      </c>
      <c r="G12" s="10" t="s">
        <v>58</v>
      </c>
      <c r="H12" s="10" t="s">
        <v>59</v>
      </c>
      <c r="I12" s="10"/>
      <c r="J12" s="8"/>
      <c r="K12" s="8" t="s">
        <v>22</v>
      </c>
    </row>
    <row r="13" customFormat="false" ht="102.95" hidden="false" customHeight="false" outlineLevel="0" collapsed="false">
      <c r="A13" s="4" t="s">
        <v>60</v>
      </c>
      <c r="B13" s="5" t="s">
        <v>61</v>
      </c>
      <c r="C13" s="6" t="s">
        <v>62</v>
      </c>
      <c r="D13" s="7" t="s">
        <v>16</v>
      </c>
      <c r="E13" s="7" t="s">
        <v>17</v>
      </c>
      <c r="F13" s="5" t="s">
        <v>63</v>
      </c>
      <c r="G13" s="5" t="s">
        <v>64</v>
      </c>
      <c r="H13" s="5" t="s">
        <v>65</v>
      </c>
      <c r="I13" s="5" t="s">
        <v>66</v>
      </c>
      <c r="J13" s="8"/>
      <c r="K13" s="8" t="s">
        <v>22</v>
      </c>
    </row>
    <row r="14" customFormat="false" ht="52.2" hidden="false" customHeight="false" outlineLevel="0" collapsed="false">
      <c r="A14" s="9" t="s">
        <v>67</v>
      </c>
      <c r="B14" s="10" t="s">
        <v>61</v>
      </c>
      <c r="C14" s="11" t="s">
        <v>68</v>
      </c>
      <c r="D14" s="12" t="s">
        <v>16</v>
      </c>
      <c r="E14" s="12" t="s">
        <v>57</v>
      </c>
      <c r="F14" s="10" t="s">
        <v>69</v>
      </c>
      <c r="G14" s="10" t="s">
        <v>70</v>
      </c>
      <c r="H14" s="10" t="s">
        <v>71</v>
      </c>
      <c r="I14" s="10"/>
      <c r="J14" s="8"/>
      <c r="K14" s="8" t="s">
        <v>22</v>
      </c>
    </row>
    <row r="15" customFormat="false" ht="52.2" hidden="false" customHeight="false" outlineLevel="0" collapsed="false">
      <c r="A15" s="4" t="s">
        <v>72</v>
      </c>
      <c r="B15" s="5" t="s">
        <v>61</v>
      </c>
      <c r="C15" s="6" t="s">
        <v>73</v>
      </c>
      <c r="D15" s="7" t="s">
        <v>16</v>
      </c>
      <c r="E15" s="7" t="s">
        <v>17</v>
      </c>
      <c r="F15" s="5" t="s">
        <v>74</v>
      </c>
      <c r="G15" s="5" t="s">
        <v>75</v>
      </c>
      <c r="H15" s="5" t="s">
        <v>76</v>
      </c>
      <c r="I15" s="5" t="s">
        <v>77</v>
      </c>
      <c r="J15" s="8"/>
      <c r="K15" s="8" t="s">
        <v>22</v>
      </c>
    </row>
    <row r="16" customFormat="false" ht="39.55" hidden="false" customHeight="false" outlineLevel="0" collapsed="false">
      <c r="A16" s="9" t="s">
        <v>78</v>
      </c>
      <c r="B16" s="10" t="s">
        <v>61</v>
      </c>
      <c r="C16" s="11" t="s">
        <v>79</v>
      </c>
      <c r="D16" s="12" t="s">
        <v>47</v>
      </c>
      <c r="E16" s="12" t="s">
        <v>57</v>
      </c>
      <c r="F16" s="10" t="s">
        <v>80</v>
      </c>
      <c r="G16" s="10" t="s">
        <v>81</v>
      </c>
      <c r="H16" s="10" t="s">
        <v>82</v>
      </c>
      <c r="I16" s="10"/>
      <c r="J16" s="8"/>
      <c r="K16" s="8" t="s">
        <v>22</v>
      </c>
    </row>
    <row r="17" customFormat="false" ht="52.2" hidden="false" customHeight="false" outlineLevel="0" collapsed="false">
      <c r="A17" s="4" t="s">
        <v>83</v>
      </c>
      <c r="B17" s="5" t="s">
        <v>61</v>
      </c>
      <c r="C17" s="6" t="s">
        <v>84</v>
      </c>
      <c r="D17" s="7" t="s">
        <v>16</v>
      </c>
      <c r="E17" s="7" t="s">
        <v>57</v>
      </c>
      <c r="F17" s="5" t="s">
        <v>85</v>
      </c>
      <c r="G17" s="5" t="s">
        <v>86</v>
      </c>
      <c r="H17" s="5" t="s">
        <v>87</v>
      </c>
      <c r="I17" s="5" t="s">
        <v>88</v>
      </c>
      <c r="J17" s="8"/>
      <c r="K17" s="8" t="s">
        <v>22</v>
      </c>
    </row>
    <row r="18" customFormat="false" ht="26.85" hidden="false" customHeight="false" outlineLevel="0" collapsed="false">
      <c r="A18" s="9" t="s">
        <v>89</v>
      </c>
      <c r="B18" s="10" t="s">
        <v>61</v>
      </c>
      <c r="C18" s="11" t="s">
        <v>90</v>
      </c>
      <c r="D18" s="12" t="s">
        <v>16</v>
      </c>
      <c r="E18" s="12" t="s">
        <v>17</v>
      </c>
      <c r="F18" s="10" t="s">
        <v>91</v>
      </c>
      <c r="G18" s="10" t="s">
        <v>92</v>
      </c>
      <c r="H18" s="10" t="s">
        <v>93</v>
      </c>
      <c r="I18" s="10"/>
      <c r="J18" s="8"/>
      <c r="K18" s="8" t="s">
        <v>22</v>
      </c>
    </row>
    <row r="19" customFormat="false" ht="26.85" hidden="false" customHeight="false" outlineLevel="0" collapsed="false">
      <c r="A19" s="4" t="s">
        <v>94</v>
      </c>
      <c r="B19" s="5" t="s">
        <v>61</v>
      </c>
      <c r="C19" s="6" t="s">
        <v>95</v>
      </c>
      <c r="D19" s="7" t="s">
        <v>16</v>
      </c>
      <c r="E19" s="7" t="s">
        <v>57</v>
      </c>
      <c r="F19" s="5" t="s">
        <v>91</v>
      </c>
      <c r="G19" s="5" t="s">
        <v>96</v>
      </c>
      <c r="H19" s="5" t="s">
        <v>97</v>
      </c>
      <c r="I19" s="5" t="s">
        <v>98</v>
      </c>
      <c r="J19" s="8"/>
      <c r="K19" s="8" t="s">
        <v>22</v>
      </c>
    </row>
    <row r="20" customFormat="false" ht="26.85" hidden="false" customHeight="false" outlineLevel="0" collapsed="false">
      <c r="A20" s="9" t="s">
        <v>99</v>
      </c>
      <c r="B20" s="10" t="s">
        <v>61</v>
      </c>
      <c r="C20" s="11" t="s">
        <v>100</v>
      </c>
      <c r="D20" s="12" t="s">
        <v>47</v>
      </c>
      <c r="E20" s="12" t="s">
        <v>57</v>
      </c>
      <c r="F20" s="10" t="s">
        <v>69</v>
      </c>
      <c r="G20" s="10" t="s">
        <v>101</v>
      </c>
      <c r="H20" s="10" t="s">
        <v>102</v>
      </c>
      <c r="I20" s="10"/>
      <c r="J20" s="8"/>
      <c r="K20" s="8" t="s">
        <v>22</v>
      </c>
    </row>
    <row r="21" customFormat="false" ht="39.55" hidden="false" customHeight="false" outlineLevel="0" collapsed="false">
      <c r="A21" s="4" t="s">
        <v>103</v>
      </c>
      <c r="B21" s="5" t="s">
        <v>61</v>
      </c>
      <c r="C21" s="6" t="s">
        <v>104</v>
      </c>
      <c r="D21" s="7" t="s">
        <v>47</v>
      </c>
      <c r="E21" s="7" t="s">
        <v>17</v>
      </c>
      <c r="F21" s="5" t="s">
        <v>69</v>
      </c>
      <c r="G21" s="5" t="s">
        <v>105</v>
      </c>
      <c r="H21" s="5" t="s">
        <v>106</v>
      </c>
      <c r="I21" s="5" t="s">
        <v>107</v>
      </c>
      <c r="J21" s="8"/>
      <c r="K21" s="8" t="s">
        <v>22</v>
      </c>
    </row>
    <row r="22" customFormat="false" ht="26.85" hidden="false" customHeight="false" outlineLevel="0" collapsed="false">
      <c r="A22" s="9" t="s">
        <v>108</v>
      </c>
      <c r="B22" s="10" t="s">
        <v>61</v>
      </c>
      <c r="C22" s="11" t="s">
        <v>109</v>
      </c>
      <c r="D22" s="12" t="s">
        <v>47</v>
      </c>
      <c r="E22" s="12" t="s">
        <v>57</v>
      </c>
      <c r="F22" s="10" t="s">
        <v>69</v>
      </c>
      <c r="G22" s="10" t="s">
        <v>110</v>
      </c>
      <c r="H22" s="10" t="s">
        <v>111</v>
      </c>
      <c r="I22" s="10" t="s">
        <v>112</v>
      </c>
      <c r="J22" s="8"/>
      <c r="K22" s="8" t="s">
        <v>22</v>
      </c>
    </row>
    <row r="23" customFormat="false" ht="26.85" hidden="false" customHeight="false" outlineLevel="0" collapsed="false">
      <c r="A23" s="4" t="s">
        <v>113</v>
      </c>
      <c r="B23" s="5" t="s">
        <v>61</v>
      </c>
      <c r="C23" s="6" t="s">
        <v>114</v>
      </c>
      <c r="D23" s="7" t="s">
        <v>16</v>
      </c>
      <c r="E23" s="7" t="s">
        <v>57</v>
      </c>
      <c r="F23" s="5" t="s">
        <v>115</v>
      </c>
      <c r="G23" s="5" t="s">
        <v>116</v>
      </c>
      <c r="H23" s="5" t="s">
        <v>117</v>
      </c>
      <c r="I23" s="5"/>
      <c r="J23" s="8"/>
      <c r="K23" s="8" t="s">
        <v>22</v>
      </c>
    </row>
    <row r="24" customFormat="false" ht="39.55" hidden="false" customHeight="false" outlineLevel="0" collapsed="false">
      <c r="A24" s="9" t="s">
        <v>118</v>
      </c>
      <c r="B24" s="10" t="s">
        <v>119</v>
      </c>
      <c r="C24" s="11" t="s">
        <v>120</v>
      </c>
      <c r="D24" s="12" t="s">
        <v>16</v>
      </c>
      <c r="E24" s="12" t="s">
        <v>17</v>
      </c>
      <c r="F24" s="10" t="s">
        <v>91</v>
      </c>
      <c r="G24" s="10" t="s">
        <v>121</v>
      </c>
      <c r="H24" s="10" t="s">
        <v>122</v>
      </c>
      <c r="I24" s="10"/>
      <c r="J24" s="8"/>
      <c r="K24" s="8" t="s">
        <v>22</v>
      </c>
    </row>
    <row r="25" customFormat="false" ht="15" hidden="false" customHeight="false" outlineLevel="0" collapsed="false">
      <c r="A25" s="4" t="s">
        <v>123</v>
      </c>
      <c r="B25" s="5" t="s">
        <v>119</v>
      </c>
      <c r="C25" s="6" t="s">
        <v>124</v>
      </c>
      <c r="D25" s="7" t="s">
        <v>16</v>
      </c>
      <c r="E25" s="7" t="s">
        <v>57</v>
      </c>
      <c r="F25" s="5" t="s">
        <v>91</v>
      </c>
      <c r="G25" s="5" t="s">
        <v>125</v>
      </c>
      <c r="H25" s="5" t="s">
        <v>126</v>
      </c>
      <c r="I25" s="5"/>
      <c r="J25" s="8"/>
      <c r="K25" s="8" t="s">
        <v>22</v>
      </c>
    </row>
    <row r="26" customFormat="false" ht="26.85" hidden="false" customHeight="false" outlineLevel="0" collapsed="false">
      <c r="A26" s="9" t="s">
        <v>127</v>
      </c>
      <c r="B26" s="10" t="s">
        <v>119</v>
      </c>
      <c r="C26" s="11" t="s">
        <v>128</v>
      </c>
      <c r="D26" s="12" t="s">
        <v>16</v>
      </c>
      <c r="E26" s="12" t="s">
        <v>17</v>
      </c>
      <c r="F26" s="10" t="s">
        <v>129</v>
      </c>
      <c r="G26" s="10" t="s">
        <v>130</v>
      </c>
      <c r="H26" s="10" t="s">
        <v>131</v>
      </c>
      <c r="I26" s="10" t="s">
        <v>132</v>
      </c>
      <c r="J26" s="8"/>
      <c r="K26" s="8" t="s">
        <v>22</v>
      </c>
    </row>
    <row r="27" customFormat="false" ht="52.2" hidden="false" customHeight="false" outlineLevel="0" collapsed="false">
      <c r="A27" s="4" t="s">
        <v>133</v>
      </c>
      <c r="B27" s="5" t="s">
        <v>119</v>
      </c>
      <c r="C27" s="6" t="s">
        <v>134</v>
      </c>
      <c r="D27" s="7" t="s">
        <v>16</v>
      </c>
      <c r="E27" s="7" t="s">
        <v>17</v>
      </c>
      <c r="F27" s="5" t="s">
        <v>135</v>
      </c>
      <c r="G27" s="5" t="s">
        <v>136</v>
      </c>
      <c r="H27" s="5" t="s">
        <v>137</v>
      </c>
      <c r="I27" s="5"/>
      <c r="J27" s="8"/>
      <c r="K27" s="8" t="s">
        <v>22</v>
      </c>
    </row>
    <row r="28" customFormat="false" ht="26.85" hidden="false" customHeight="false" outlineLevel="0" collapsed="false">
      <c r="A28" s="9" t="s">
        <v>138</v>
      </c>
      <c r="B28" s="10" t="s">
        <v>119</v>
      </c>
      <c r="C28" s="11" t="s">
        <v>139</v>
      </c>
      <c r="D28" s="12" t="s">
        <v>47</v>
      </c>
      <c r="E28" s="12" t="s">
        <v>48</v>
      </c>
      <c r="F28" s="10" t="s">
        <v>91</v>
      </c>
      <c r="G28" s="10" t="s">
        <v>140</v>
      </c>
      <c r="H28" s="10" t="s">
        <v>141</v>
      </c>
      <c r="I28" s="10" t="s">
        <v>142</v>
      </c>
      <c r="J28" s="8"/>
      <c r="K28" s="8" t="s">
        <v>22</v>
      </c>
    </row>
    <row r="29" customFormat="false" ht="52.2" hidden="false" customHeight="false" outlineLevel="0" collapsed="false">
      <c r="A29" s="4" t="s">
        <v>143</v>
      </c>
      <c r="B29" s="5" t="s">
        <v>119</v>
      </c>
      <c r="C29" s="6" t="s">
        <v>144</v>
      </c>
      <c r="D29" s="7" t="s">
        <v>26</v>
      </c>
      <c r="E29" s="7" t="s">
        <v>17</v>
      </c>
      <c r="F29" s="5" t="s">
        <v>145</v>
      </c>
      <c r="G29" s="5" t="s">
        <v>146</v>
      </c>
      <c r="H29" s="5" t="s">
        <v>147</v>
      </c>
      <c r="I29" s="5" t="s">
        <v>148</v>
      </c>
      <c r="J29" s="8"/>
      <c r="K29" s="8" t="s">
        <v>22</v>
      </c>
    </row>
    <row r="30" customFormat="false" ht="26.85" hidden="false" customHeight="false" outlineLevel="0" collapsed="false">
      <c r="A30" s="9" t="s">
        <v>149</v>
      </c>
      <c r="B30" s="10" t="s">
        <v>119</v>
      </c>
      <c r="C30" s="11" t="s">
        <v>150</v>
      </c>
      <c r="D30" s="12" t="s">
        <v>16</v>
      </c>
      <c r="E30" s="12" t="s">
        <v>57</v>
      </c>
      <c r="F30" s="10" t="s">
        <v>135</v>
      </c>
      <c r="G30" s="10" t="s">
        <v>151</v>
      </c>
      <c r="H30" s="10" t="s">
        <v>152</v>
      </c>
      <c r="I30" s="10"/>
      <c r="J30" s="8"/>
      <c r="K30" s="8" t="s">
        <v>22</v>
      </c>
    </row>
    <row r="31" customFormat="false" ht="52.2" hidden="false" customHeight="false" outlineLevel="0" collapsed="false">
      <c r="A31" s="4" t="s">
        <v>153</v>
      </c>
      <c r="B31" s="5" t="s">
        <v>154</v>
      </c>
      <c r="C31" s="6" t="s">
        <v>155</v>
      </c>
      <c r="D31" s="7" t="s">
        <v>16</v>
      </c>
      <c r="E31" s="7" t="s">
        <v>57</v>
      </c>
      <c r="F31" s="5" t="s">
        <v>42</v>
      </c>
      <c r="G31" s="5" t="s">
        <v>156</v>
      </c>
      <c r="H31" s="5" t="s">
        <v>157</v>
      </c>
      <c r="I31" s="5"/>
      <c r="J31" s="8"/>
      <c r="K31" s="8" t="s">
        <v>22</v>
      </c>
    </row>
    <row r="32" customFormat="false" ht="26.85" hidden="false" customHeight="false" outlineLevel="0" collapsed="false">
      <c r="A32" s="9" t="s">
        <v>158</v>
      </c>
      <c r="B32" s="10" t="s">
        <v>154</v>
      </c>
      <c r="C32" s="11" t="s">
        <v>159</v>
      </c>
      <c r="D32" s="12" t="s">
        <v>47</v>
      </c>
      <c r="E32" s="12" t="s">
        <v>48</v>
      </c>
      <c r="F32" s="10" t="s">
        <v>160</v>
      </c>
      <c r="G32" s="10" t="s">
        <v>156</v>
      </c>
      <c r="H32" s="10" t="s">
        <v>161</v>
      </c>
      <c r="I32" s="10" t="s">
        <v>162</v>
      </c>
      <c r="J32" s="8"/>
      <c r="K32" s="8" t="s">
        <v>22</v>
      </c>
    </row>
    <row r="33" customFormat="false" ht="52.2" hidden="false" customHeight="false" outlineLevel="0" collapsed="false">
      <c r="A33" s="4" t="s">
        <v>163</v>
      </c>
      <c r="B33" s="5" t="s">
        <v>154</v>
      </c>
      <c r="C33" s="6" t="s">
        <v>164</v>
      </c>
      <c r="D33" s="7" t="s">
        <v>16</v>
      </c>
      <c r="E33" s="7" t="s">
        <v>17</v>
      </c>
      <c r="F33" s="5" t="s">
        <v>165</v>
      </c>
      <c r="G33" s="5" t="s">
        <v>166</v>
      </c>
      <c r="H33" s="5" t="s">
        <v>167</v>
      </c>
      <c r="I33" s="5" t="s">
        <v>168</v>
      </c>
      <c r="J33" s="8"/>
      <c r="K33" s="8" t="s">
        <v>22</v>
      </c>
    </row>
    <row r="34" customFormat="false" ht="15" hidden="false" customHeight="false" outlineLevel="0" collapsed="false">
      <c r="A34" s="9" t="s">
        <v>169</v>
      </c>
      <c r="B34" s="10" t="s">
        <v>154</v>
      </c>
      <c r="C34" s="11" t="s">
        <v>170</v>
      </c>
      <c r="D34" s="12" t="s">
        <v>16</v>
      </c>
      <c r="E34" s="12" t="s">
        <v>57</v>
      </c>
      <c r="F34" s="10" t="s">
        <v>171</v>
      </c>
      <c r="G34" s="10" t="s">
        <v>172</v>
      </c>
      <c r="H34" s="10" t="s">
        <v>173</v>
      </c>
      <c r="I34" s="10"/>
      <c r="J34" s="8"/>
      <c r="K34" s="8" t="s">
        <v>22</v>
      </c>
    </row>
    <row r="35" customFormat="false" ht="15" hidden="false" customHeight="false" outlineLevel="0" collapsed="false">
      <c r="A35" s="4" t="s">
        <v>174</v>
      </c>
      <c r="B35" s="5" t="s">
        <v>154</v>
      </c>
      <c r="C35" s="6" t="s">
        <v>175</v>
      </c>
      <c r="D35" s="7" t="s">
        <v>16</v>
      </c>
      <c r="E35" s="7" t="s">
        <v>48</v>
      </c>
      <c r="F35" s="5" t="s">
        <v>42</v>
      </c>
      <c r="G35" s="5" t="s">
        <v>176</v>
      </c>
      <c r="H35" s="5" t="s">
        <v>177</v>
      </c>
      <c r="I35" s="5"/>
      <c r="J35" s="8"/>
      <c r="K35" s="8" t="s">
        <v>22</v>
      </c>
    </row>
    <row r="36" customFormat="false" ht="26.85" hidden="false" customHeight="false" outlineLevel="0" collapsed="false">
      <c r="A36" s="9" t="s">
        <v>178</v>
      </c>
      <c r="B36" s="10" t="s">
        <v>154</v>
      </c>
      <c r="C36" s="11" t="s">
        <v>179</v>
      </c>
      <c r="D36" s="12" t="s">
        <v>16</v>
      </c>
      <c r="E36" s="12" t="s">
        <v>57</v>
      </c>
      <c r="F36" s="10" t="s">
        <v>180</v>
      </c>
      <c r="G36" s="10" t="s">
        <v>181</v>
      </c>
      <c r="H36" s="10" t="s">
        <v>182</v>
      </c>
      <c r="I36" s="10"/>
      <c r="J36" s="8"/>
      <c r="K36" s="8" t="s">
        <v>22</v>
      </c>
    </row>
    <row r="37" customFormat="false" ht="26.85" hidden="false" customHeight="false" outlineLevel="0" collapsed="false">
      <c r="A37" s="4" t="s">
        <v>183</v>
      </c>
      <c r="B37" s="5" t="s">
        <v>184</v>
      </c>
      <c r="C37" s="6" t="s">
        <v>185</v>
      </c>
      <c r="D37" s="7" t="s">
        <v>16</v>
      </c>
      <c r="E37" s="7" t="s">
        <v>17</v>
      </c>
      <c r="F37" s="5" t="s">
        <v>186</v>
      </c>
      <c r="G37" s="5" t="s">
        <v>151</v>
      </c>
      <c r="H37" s="5" t="s">
        <v>187</v>
      </c>
      <c r="I37" s="5"/>
      <c r="J37" s="8"/>
      <c r="K37" s="8" t="s">
        <v>22</v>
      </c>
    </row>
    <row r="38" customFormat="false" ht="52.2" hidden="false" customHeight="false" outlineLevel="0" collapsed="false">
      <c r="A38" s="9" t="s">
        <v>188</v>
      </c>
      <c r="B38" s="10" t="s">
        <v>184</v>
      </c>
      <c r="C38" s="11" t="s">
        <v>189</v>
      </c>
      <c r="D38" s="12" t="s">
        <v>16</v>
      </c>
      <c r="E38" s="12" t="s">
        <v>17</v>
      </c>
      <c r="F38" s="10" t="s">
        <v>186</v>
      </c>
      <c r="G38" s="10" t="s">
        <v>190</v>
      </c>
      <c r="H38" s="10" t="s">
        <v>191</v>
      </c>
      <c r="I38" s="10" t="s">
        <v>192</v>
      </c>
      <c r="J38" s="8"/>
      <c r="K38" s="8" t="s">
        <v>22</v>
      </c>
    </row>
    <row r="39" customFormat="false" ht="39.55" hidden="false" customHeight="false" outlineLevel="0" collapsed="false">
      <c r="A39" s="4" t="s">
        <v>193</v>
      </c>
      <c r="B39" s="5" t="s">
        <v>184</v>
      </c>
      <c r="C39" s="6" t="s">
        <v>194</v>
      </c>
      <c r="D39" s="7" t="s">
        <v>16</v>
      </c>
      <c r="E39" s="7" t="s">
        <v>17</v>
      </c>
      <c r="F39" s="5" t="s">
        <v>195</v>
      </c>
      <c r="G39" s="5" t="s">
        <v>196</v>
      </c>
      <c r="H39" s="5" t="s">
        <v>197</v>
      </c>
      <c r="I39" s="5"/>
      <c r="J39" s="8"/>
      <c r="K39" s="8" t="s">
        <v>22</v>
      </c>
    </row>
    <row r="40" customFormat="false" ht="26.85" hidden="false" customHeight="false" outlineLevel="0" collapsed="false">
      <c r="A40" s="9" t="s">
        <v>198</v>
      </c>
      <c r="B40" s="10" t="s">
        <v>184</v>
      </c>
      <c r="C40" s="11" t="s">
        <v>199</v>
      </c>
      <c r="D40" s="12" t="s">
        <v>26</v>
      </c>
      <c r="E40" s="12" t="s">
        <v>57</v>
      </c>
      <c r="F40" s="10" t="s">
        <v>186</v>
      </c>
      <c r="G40" s="10" t="s">
        <v>200</v>
      </c>
      <c r="H40" s="10" t="s">
        <v>201</v>
      </c>
      <c r="I40" s="10"/>
      <c r="J40" s="8"/>
      <c r="K40" s="8" t="s">
        <v>22</v>
      </c>
    </row>
    <row r="41" customFormat="false" ht="52.2" hidden="false" customHeight="false" outlineLevel="0" collapsed="false">
      <c r="A41" s="4" t="s">
        <v>202</v>
      </c>
      <c r="B41" s="5" t="s">
        <v>184</v>
      </c>
      <c r="C41" s="6" t="s">
        <v>203</v>
      </c>
      <c r="D41" s="7" t="s">
        <v>16</v>
      </c>
      <c r="E41" s="7" t="s">
        <v>17</v>
      </c>
      <c r="F41" s="5" t="s">
        <v>186</v>
      </c>
      <c r="G41" s="5" t="s">
        <v>204</v>
      </c>
      <c r="H41" s="5" t="s">
        <v>205</v>
      </c>
      <c r="I41" s="5" t="s">
        <v>206</v>
      </c>
      <c r="J41" s="8"/>
      <c r="K41" s="8" t="s">
        <v>22</v>
      </c>
    </row>
    <row r="42" customFormat="false" ht="15" hidden="false" customHeight="false" outlineLevel="0" collapsed="false">
      <c r="A42" s="9" t="s">
        <v>207</v>
      </c>
      <c r="B42" s="10" t="s">
        <v>184</v>
      </c>
      <c r="C42" s="11" t="s">
        <v>208</v>
      </c>
      <c r="D42" s="12" t="s">
        <v>16</v>
      </c>
      <c r="E42" s="12" t="s">
        <v>17</v>
      </c>
      <c r="F42" s="10" t="s">
        <v>195</v>
      </c>
      <c r="G42" s="10" t="s">
        <v>204</v>
      </c>
      <c r="H42" s="10" t="s">
        <v>209</v>
      </c>
      <c r="I42" s="10" t="s">
        <v>210</v>
      </c>
      <c r="J42" s="8"/>
      <c r="K42" s="8" t="s">
        <v>22</v>
      </c>
    </row>
    <row r="43" customFormat="false" ht="26.85" hidden="false" customHeight="false" outlineLevel="0" collapsed="false">
      <c r="A43" s="4" t="s">
        <v>211</v>
      </c>
      <c r="B43" s="5" t="s">
        <v>184</v>
      </c>
      <c r="C43" s="6" t="s">
        <v>212</v>
      </c>
      <c r="D43" s="7" t="s">
        <v>26</v>
      </c>
      <c r="E43" s="7" t="s">
        <v>57</v>
      </c>
      <c r="F43" s="5" t="s">
        <v>213</v>
      </c>
      <c r="G43" s="5" t="s">
        <v>151</v>
      </c>
      <c r="H43" s="5" t="s">
        <v>214</v>
      </c>
      <c r="I43" s="5"/>
      <c r="J43" s="8"/>
      <c r="K43" s="8" t="s">
        <v>22</v>
      </c>
    </row>
    <row r="44" customFormat="false" ht="52.2" hidden="false" customHeight="false" outlineLevel="0" collapsed="false">
      <c r="A44" s="9" t="s">
        <v>215</v>
      </c>
      <c r="B44" s="10" t="s">
        <v>184</v>
      </c>
      <c r="C44" s="11" t="s">
        <v>216</v>
      </c>
      <c r="D44" s="12" t="s">
        <v>26</v>
      </c>
      <c r="E44" s="12" t="s">
        <v>17</v>
      </c>
      <c r="F44" s="10" t="s">
        <v>217</v>
      </c>
      <c r="G44" s="10" t="s">
        <v>218</v>
      </c>
      <c r="H44" s="10" t="s">
        <v>219</v>
      </c>
      <c r="I44" s="10" t="s">
        <v>220</v>
      </c>
      <c r="J44" s="8"/>
      <c r="K44" s="8" t="s">
        <v>22</v>
      </c>
    </row>
    <row r="45" customFormat="false" ht="39.55" hidden="false" customHeight="false" outlineLevel="0" collapsed="false">
      <c r="A45" s="4" t="s">
        <v>221</v>
      </c>
      <c r="B45" s="5" t="s">
        <v>184</v>
      </c>
      <c r="C45" s="6" t="s">
        <v>222</v>
      </c>
      <c r="D45" s="7" t="s">
        <v>26</v>
      </c>
      <c r="E45" s="7" t="s">
        <v>57</v>
      </c>
      <c r="F45" s="5" t="s">
        <v>42</v>
      </c>
      <c r="G45" s="5" t="s">
        <v>223</v>
      </c>
      <c r="H45" s="5" t="s">
        <v>224</v>
      </c>
      <c r="I45" s="5" t="s">
        <v>225</v>
      </c>
      <c r="J45" s="8"/>
      <c r="K45" s="8" t="s">
        <v>22</v>
      </c>
    </row>
    <row r="46" customFormat="false" ht="77.6" hidden="false" customHeight="false" outlineLevel="0" collapsed="false">
      <c r="A46" s="9" t="s">
        <v>226</v>
      </c>
      <c r="B46" s="10" t="s">
        <v>227</v>
      </c>
      <c r="C46" s="11" t="s">
        <v>228</v>
      </c>
      <c r="D46" s="12" t="s">
        <v>16</v>
      </c>
      <c r="E46" s="12" t="s">
        <v>17</v>
      </c>
      <c r="F46" s="10" t="s">
        <v>229</v>
      </c>
      <c r="G46" s="10" t="s">
        <v>230</v>
      </c>
      <c r="H46" s="10" t="s">
        <v>231</v>
      </c>
      <c r="I46" s="10" t="s">
        <v>232</v>
      </c>
      <c r="J46" s="8"/>
      <c r="K46" s="8" t="s">
        <v>22</v>
      </c>
    </row>
    <row r="47" customFormat="false" ht="26.85" hidden="false" customHeight="false" outlineLevel="0" collapsed="false">
      <c r="A47" s="4" t="s">
        <v>233</v>
      </c>
      <c r="B47" s="5" t="s">
        <v>227</v>
      </c>
      <c r="C47" s="6" t="s">
        <v>234</v>
      </c>
      <c r="D47" s="7" t="s">
        <v>16</v>
      </c>
      <c r="E47" s="7" t="s">
        <v>17</v>
      </c>
      <c r="F47" s="5" t="s">
        <v>235</v>
      </c>
      <c r="G47" s="5" t="s">
        <v>236</v>
      </c>
      <c r="H47" s="5" t="s">
        <v>237</v>
      </c>
      <c r="I47" s="5" t="s">
        <v>238</v>
      </c>
      <c r="J47" s="8"/>
      <c r="K47" s="8" t="s">
        <v>22</v>
      </c>
    </row>
    <row r="48" customFormat="false" ht="52.2" hidden="false" customHeight="false" outlineLevel="0" collapsed="false">
      <c r="A48" s="9" t="s">
        <v>239</v>
      </c>
      <c r="B48" s="10" t="s">
        <v>227</v>
      </c>
      <c r="C48" s="11" t="s">
        <v>240</v>
      </c>
      <c r="D48" s="12" t="s">
        <v>26</v>
      </c>
      <c r="E48" s="12" t="s">
        <v>17</v>
      </c>
      <c r="F48" s="10" t="s">
        <v>235</v>
      </c>
      <c r="G48" s="10" t="s">
        <v>241</v>
      </c>
      <c r="H48" s="10" t="s">
        <v>242</v>
      </c>
      <c r="I48" s="10" t="s">
        <v>243</v>
      </c>
      <c r="J48" s="8"/>
      <c r="K48" s="8" t="s">
        <v>22</v>
      </c>
    </row>
    <row r="49" customFormat="false" ht="52.2" hidden="false" customHeight="false" outlineLevel="0" collapsed="false">
      <c r="A49" s="4" t="s">
        <v>244</v>
      </c>
      <c r="B49" s="5" t="s">
        <v>227</v>
      </c>
      <c r="C49" s="6" t="s">
        <v>245</v>
      </c>
      <c r="D49" s="7" t="s">
        <v>26</v>
      </c>
      <c r="E49" s="7" t="s">
        <v>17</v>
      </c>
      <c r="F49" s="5" t="s">
        <v>235</v>
      </c>
      <c r="G49" s="5" t="s">
        <v>246</v>
      </c>
      <c r="H49" s="5" t="s">
        <v>247</v>
      </c>
      <c r="I49" s="5" t="s">
        <v>248</v>
      </c>
      <c r="J49" s="8"/>
      <c r="K49" s="8" t="s">
        <v>22</v>
      </c>
    </row>
    <row r="50" customFormat="false" ht="52.2" hidden="false" customHeight="false" outlineLevel="0" collapsed="false">
      <c r="A50" s="9" t="s">
        <v>249</v>
      </c>
      <c r="B50" s="10" t="s">
        <v>227</v>
      </c>
      <c r="C50" s="11" t="s">
        <v>250</v>
      </c>
      <c r="D50" s="12" t="s">
        <v>47</v>
      </c>
      <c r="E50" s="12" t="s">
        <v>57</v>
      </c>
      <c r="F50" s="10" t="s">
        <v>235</v>
      </c>
      <c r="G50" s="10" t="s">
        <v>251</v>
      </c>
      <c r="H50" s="10" t="s">
        <v>252</v>
      </c>
      <c r="I50" s="10" t="s">
        <v>253</v>
      </c>
      <c r="J50" s="8"/>
      <c r="K50" s="8" t="s">
        <v>22</v>
      </c>
    </row>
    <row r="51" customFormat="false" ht="52.2" hidden="false" customHeight="false" outlineLevel="0" collapsed="false">
      <c r="A51" s="4" t="s">
        <v>254</v>
      </c>
      <c r="B51" s="5" t="s">
        <v>227</v>
      </c>
      <c r="C51" s="6" t="s">
        <v>255</v>
      </c>
      <c r="D51" s="7" t="s">
        <v>47</v>
      </c>
      <c r="E51" s="7" t="s">
        <v>57</v>
      </c>
      <c r="F51" s="5" t="s">
        <v>235</v>
      </c>
      <c r="G51" s="5" t="s">
        <v>256</v>
      </c>
      <c r="H51" s="5" t="s">
        <v>257</v>
      </c>
      <c r="I51" s="5" t="s">
        <v>258</v>
      </c>
      <c r="J51" s="8"/>
      <c r="K51" s="8" t="s">
        <v>22</v>
      </c>
    </row>
    <row r="52" customFormat="false" ht="26.85" hidden="false" customHeight="false" outlineLevel="0" collapsed="false">
      <c r="A52" s="9" t="s">
        <v>259</v>
      </c>
      <c r="B52" s="10" t="s">
        <v>227</v>
      </c>
      <c r="C52" s="11" t="s">
        <v>260</v>
      </c>
      <c r="D52" s="12" t="s">
        <v>16</v>
      </c>
      <c r="E52" s="12" t="s">
        <v>17</v>
      </c>
      <c r="F52" s="10" t="s">
        <v>235</v>
      </c>
      <c r="G52" s="10" t="s">
        <v>261</v>
      </c>
      <c r="H52" s="10" t="s">
        <v>262</v>
      </c>
      <c r="I52" s="10" t="s">
        <v>263</v>
      </c>
      <c r="J52" s="8"/>
      <c r="K52" s="8" t="s">
        <v>22</v>
      </c>
    </row>
    <row r="53" customFormat="false" ht="26.85" hidden="false" customHeight="false" outlineLevel="0" collapsed="false">
      <c r="A53" s="4" t="s">
        <v>264</v>
      </c>
      <c r="B53" s="5" t="s">
        <v>227</v>
      </c>
      <c r="C53" s="6" t="s">
        <v>265</v>
      </c>
      <c r="D53" s="7" t="s">
        <v>16</v>
      </c>
      <c r="E53" s="7" t="s">
        <v>57</v>
      </c>
      <c r="F53" s="5" t="s">
        <v>235</v>
      </c>
      <c r="G53" s="5" t="s">
        <v>266</v>
      </c>
      <c r="H53" s="5" t="s">
        <v>267</v>
      </c>
      <c r="I53" s="5" t="s">
        <v>268</v>
      </c>
      <c r="J53" s="8"/>
      <c r="K53" s="8" t="s">
        <v>22</v>
      </c>
    </row>
    <row r="54" customFormat="false" ht="26.85" hidden="false" customHeight="false" outlineLevel="0" collapsed="false">
      <c r="A54" s="9" t="s">
        <v>269</v>
      </c>
      <c r="B54" s="10" t="s">
        <v>227</v>
      </c>
      <c r="C54" s="11" t="s">
        <v>270</v>
      </c>
      <c r="D54" s="12" t="s">
        <v>16</v>
      </c>
      <c r="E54" s="12" t="s">
        <v>48</v>
      </c>
      <c r="F54" s="10" t="s">
        <v>271</v>
      </c>
      <c r="G54" s="10" t="s">
        <v>272</v>
      </c>
      <c r="H54" s="10" t="s">
        <v>273</v>
      </c>
      <c r="I54" s="10" t="s">
        <v>274</v>
      </c>
      <c r="J54" s="8"/>
      <c r="K54" s="8" t="s">
        <v>22</v>
      </c>
    </row>
    <row r="55" customFormat="false" ht="39.55" hidden="false" customHeight="false" outlineLevel="0" collapsed="false">
      <c r="A55" s="4" t="s">
        <v>275</v>
      </c>
      <c r="B55" s="5" t="s">
        <v>227</v>
      </c>
      <c r="C55" s="6" t="s">
        <v>276</v>
      </c>
      <c r="D55" s="7" t="s">
        <v>16</v>
      </c>
      <c r="E55" s="7" t="s">
        <v>17</v>
      </c>
      <c r="F55" s="5" t="s">
        <v>277</v>
      </c>
      <c r="G55" s="5" t="s">
        <v>278</v>
      </c>
      <c r="H55" s="5" t="s">
        <v>279</v>
      </c>
      <c r="I55" s="5" t="s">
        <v>268</v>
      </c>
      <c r="J55" s="8"/>
      <c r="K55" s="8" t="s">
        <v>22</v>
      </c>
    </row>
  </sheetData>
  <autoFilter ref="A4:K55"/>
  <dataValidations count="2">
    <dataValidation allowBlank="true" errorStyle="stop" operator="between" showDropDown="false" showErrorMessage="false" showInputMessage="false" sqref="K5:K85" type="list">
      <formula1>"미착수,작성중,작성완료,실행완료,보류"</formula1>
      <formula2>0</formula2>
    </dataValidation>
    <dataValidation allowBlank="false" errorStyle="stop" operator="between" showDropDown="false" showErrorMessage="false" showInputMessage="false" sqref="E5:E85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true" hidden="false" outlineLevel="0" max="1" min="1" style="0" width="22.02"/>
    <col collapsed="false" customWidth="true" hidden="false" outlineLevel="0" max="2" min="2" style="0" width="9.17"/>
  </cols>
  <sheetData>
    <row r="1" customFormat="false" ht="17.35" hidden="false" customHeight="false" outlineLevel="0" collapsed="false">
      <c r="A1" s="1" t="s">
        <v>280</v>
      </c>
    </row>
    <row r="2" customFormat="false" ht="15" hidden="false" customHeight="false" outlineLevel="0" collapsed="false">
      <c r="A2" s="2" t="s">
        <v>281</v>
      </c>
    </row>
    <row r="4" customFormat="false" ht="15" hidden="false" customHeight="false" outlineLevel="0" collapsed="false">
      <c r="A4" s="13" t="s">
        <v>282</v>
      </c>
    </row>
    <row r="5" customFormat="false" ht="15" hidden="false" customHeight="false" outlineLevel="0" collapsed="false">
      <c r="A5" s="14" t="s">
        <v>3</v>
      </c>
      <c r="B5" s="14" t="s">
        <v>283</v>
      </c>
    </row>
    <row r="6" customFormat="false" ht="15" hidden="false" customHeight="false" outlineLevel="0" collapsed="false">
      <c r="A6" s="15" t="s">
        <v>14</v>
      </c>
      <c r="B6" s="15" t="n">
        <f aca="false">COUNTIF(시나리오!$B$5:$B$85,A6)</f>
        <v>1</v>
      </c>
    </row>
    <row r="7" customFormat="false" ht="15" hidden="false" customHeight="false" outlineLevel="0" collapsed="false">
      <c r="A7" s="15" t="s">
        <v>24</v>
      </c>
      <c r="B7" s="15" t="n">
        <f aca="false">COUNTIF(시나리오!$B$5:$B$85,A7)</f>
        <v>6</v>
      </c>
    </row>
    <row r="8" customFormat="false" ht="15" hidden="false" customHeight="false" outlineLevel="0" collapsed="false">
      <c r="A8" s="15" t="s">
        <v>55</v>
      </c>
      <c r="B8" s="15" t="n">
        <f aca="false">COUNTIF(시나리오!$B$5:$B$85,A8)</f>
        <v>1</v>
      </c>
    </row>
    <row r="9" customFormat="false" ht="15" hidden="false" customHeight="false" outlineLevel="0" collapsed="false">
      <c r="A9" s="15" t="s">
        <v>61</v>
      </c>
      <c r="B9" s="15" t="n">
        <f aca="false">COUNTIF(시나리오!$B$5:$B$85,A9)</f>
        <v>11</v>
      </c>
    </row>
    <row r="10" customFormat="false" ht="15" hidden="false" customHeight="false" outlineLevel="0" collapsed="false">
      <c r="A10" s="15" t="s">
        <v>119</v>
      </c>
      <c r="B10" s="15" t="n">
        <f aca="false">COUNTIF(시나리오!$B$5:$B$85,A10)</f>
        <v>7</v>
      </c>
    </row>
    <row r="11" customFormat="false" ht="15" hidden="false" customHeight="false" outlineLevel="0" collapsed="false">
      <c r="A11" s="15" t="s">
        <v>154</v>
      </c>
      <c r="B11" s="15" t="n">
        <f aca="false">COUNTIF(시나리오!$B$5:$B$85,A11)</f>
        <v>6</v>
      </c>
    </row>
    <row r="12" customFormat="false" ht="15" hidden="false" customHeight="false" outlineLevel="0" collapsed="false">
      <c r="A12" s="15" t="s">
        <v>184</v>
      </c>
      <c r="B12" s="15" t="n">
        <f aca="false">COUNTIF(시나리오!$B$5:$B$85,A12)</f>
        <v>9</v>
      </c>
    </row>
    <row r="13" customFormat="false" ht="15" hidden="false" customHeight="false" outlineLevel="0" collapsed="false">
      <c r="A13" s="15" t="s">
        <v>227</v>
      </c>
      <c r="B13" s="15" t="n">
        <f aca="false">COUNTIF(시나리오!$B$5:$B$85,A13)</f>
        <v>10</v>
      </c>
    </row>
    <row r="14" customFormat="false" ht="15" hidden="false" customHeight="false" outlineLevel="0" collapsed="false">
      <c r="A14" s="16" t="s">
        <v>284</v>
      </c>
      <c r="B14" s="16" t="n">
        <f aca="false">SUM(B6:B13)</f>
        <v>51</v>
      </c>
    </row>
    <row r="16" customFormat="false" ht="15" hidden="false" customHeight="false" outlineLevel="0" collapsed="false">
      <c r="A16" s="13" t="s">
        <v>285</v>
      </c>
    </row>
    <row r="17" customFormat="false" ht="15" hidden="false" customHeight="false" outlineLevel="0" collapsed="false">
      <c r="A17" s="14" t="s">
        <v>6</v>
      </c>
      <c r="B17" s="14" t="s">
        <v>283</v>
      </c>
    </row>
    <row r="18" customFormat="false" ht="15" hidden="false" customHeight="false" outlineLevel="0" collapsed="false">
      <c r="A18" s="15" t="s">
        <v>17</v>
      </c>
      <c r="B18" s="15" t="n">
        <f aca="false">COUNTIF(시나리오!$E$5:$E$85,A18)</f>
        <v>26</v>
      </c>
    </row>
    <row r="19" customFormat="false" ht="15" hidden="false" customHeight="false" outlineLevel="0" collapsed="false">
      <c r="A19" s="15" t="s">
        <v>57</v>
      </c>
      <c r="B19" s="15" t="n">
        <f aca="false">COUNTIF(시나리오!$E$5:$E$85,A19)</f>
        <v>19</v>
      </c>
    </row>
    <row r="20" customFormat="false" ht="15" hidden="false" customHeight="false" outlineLevel="0" collapsed="false">
      <c r="A20" s="15" t="s">
        <v>48</v>
      </c>
      <c r="B20" s="15" t="n">
        <f aca="false">COUNTIF(시나리오!$E$5:$E$85,A20)</f>
        <v>6</v>
      </c>
    </row>
    <row r="21" customFormat="false" ht="15" hidden="false" customHeight="false" outlineLevel="0" collapsed="false">
      <c r="A21" s="16" t="s">
        <v>284</v>
      </c>
      <c r="B21" s="16" t="n">
        <f aca="false">SUM(B18:B20)</f>
        <v>51</v>
      </c>
    </row>
    <row r="23" customFormat="false" ht="15" hidden="false" customHeight="false" outlineLevel="0" collapsed="false">
      <c r="A23" s="13" t="s">
        <v>286</v>
      </c>
    </row>
    <row r="24" customFormat="false" ht="15" hidden="false" customHeight="false" outlineLevel="0" collapsed="false">
      <c r="A24" s="14" t="s">
        <v>5</v>
      </c>
      <c r="B24" s="14" t="s">
        <v>283</v>
      </c>
    </row>
    <row r="25" customFormat="false" ht="15" hidden="false" customHeight="false" outlineLevel="0" collapsed="false">
      <c r="A25" s="15" t="s">
        <v>16</v>
      </c>
      <c r="B25" s="15" t="n">
        <f aca="false">COUNTIF(시나리오!$D$5:$D$85,A25)</f>
        <v>33</v>
      </c>
    </row>
    <row r="26" customFormat="false" ht="15" hidden="false" customHeight="false" outlineLevel="0" collapsed="false">
      <c r="A26" s="15" t="s">
        <v>26</v>
      </c>
      <c r="B26" s="15" t="n">
        <f aca="false">COUNTIF(시나리오!$D$5:$D$85,A26)</f>
        <v>9</v>
      </c>
    </row>
    <row r="27" customFormat="false" ht="15" hidden="false" customHeight="false" outlineLevel="0" collapsed="false">
      <c r="A27" s="15" t="s">
        <v>47</v>
      </c>
      <c r="B27" s="15" t="n">
        <f aca="false">COUNTIF(시나리오!$D$5:$D$85,A27)</f>
        <v>9</v>
      </c>
    </row>
    <row r="28" customFormat="false" ht="15" hidden="false" customHeight="false" outlineLevel="0" collapsed="false">
      <c r="A28" s="16" t="s">
        <v>284</v>
      </c>
      <c r="B28" s="16" t="n">
        <f aca="false">SUM(B25:B27)</f>
        <v>51</v>
      </c>
    </row>
    <row r="30" customFormat="false" ht="15" hidden="false" customHeight="false" outlineLevel="0" collapsed="false">
      <c r="A30" s="13" t="s">
        <v>287</v>
      </c>
    </row>
    <row r="31" customFormat="false" ht="15" hidden="false" customHeight="false" outlineLevel="0" collapsed="false">
      <c r="A31" s="14" t="s">
        <v>12</v>
      </c>
      <c r="B31" s="14" t="s">
        <v>283</v>
      </c>
    </row>
    <row r="32" customFormat="false" ht="15" hidden="false" customHeight="false" outlineLevel="0" collapsed="false">
      <c r="A32" s="15" t="s">
        <v>22</v>
      </c>
      <c r="B32" s="15" t="n">
        <f aca="false">COUNTIF(시나리오!$K$5:$K$85,A32)</f>
        <v>51</v>
      </c>
    </row>
    <row r="33" customFormat="false" ht="15" hidden="false" customHeight="false" outlineLevel="0" collapsed="false">
      <c r="A33" s="15" t="s">
        <v>288</v>
      </c>
      <c r="B33" s="15" t="n">
        <f aca="false">COUNTIF(시나리오!$K$5:$K$85,A33)</f>
        <v>0</v>
      </c>
    </row>
    <row r="34" customFormat="false" ht="15" hidden="false" customHeight="false" outlineLevel="0" collapsed="false">
      <c r="A34" s="15" t="s">
        <v>289</v>
      </c>
      <c r="B34" s="15" t="n">
        <f aca="false">COUNTIF(시나리오!$K$5:$K$85,A34)</f>
        <v>0</v>
      </c>
    </row>
    <row r="35" customFormat="false" ht="15" hidden="false" customHeight="false" outlineLevel="0" collapsed="false">
      <c r="A35" s="15" t="s">
        <v>290</v>
      </c>
      <c r="B35" s="15" t="n">
        <f aca="false">COUNTIF(시나리오!$K$5:$K$85,A35)</f>
        <v>0</v>
      </c>
    </row>
    <row r="36" customFormat="false" ht="15" hidden="false" customHeight="false" outlineLevel="0" collapsed="false">
      <c r="A36" s="15" t="s">
        <v>291</v>
      </c>
      <c r="B36" s="15" t="n">
        <f aca="false">COUNTIF(시나리오!$K$5:$K$85,A36)</f>
        <v>0</v>
      </c>
    </row>
    <row r="37" customFormat="false" ht="15" hidden="false" customHeight="false" outlineLevel="0" collapsed="false">
      <c r="A37" s="16" t="s">
        <v>284</v>
      </c>
      <c r="B37" s="16" t="n">
        <f aca="false">SUM(B32:B36)</f>
        <v>51</v>
      </c>
    </row>
    <row r="39" customFormat="false" ht="15" hidden="false" customHeight="false" outlineLevel="0" collapsed="false">
      <c r="A39" s="13" t="s">
        <v>292</v>
      </c>
      <c r="B39" s="13" t="n">
        <f aca="false">COUNTA(시나리오!$A$5:$A$85)-COUNTIF(시나리오!$J$5:$J$85,"?*")</f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true" hidden="false" outlineLevel="0" max="1" min="1" style="0" width="22.02"/>
    <col collapsed="false" customWidth="true" hidden="false" outlineLevel="0" max="2" min="2" style="0" width="110.08"/>
  </cols>
  <sheetData>
    <row r="1" customFormat="false" ht="17.35" hidden="false" customHeight="false" outlineLevel="0" collapsed="false">
      <c r="A1" s="1" t="s">
        <v>293</v>
      </c>
    </row>
    <row r="3" customFormat="false" ht="15" hidden="false" customHeight="false" outlineLevel="0" collapsed="false">
      <c r="A3" s="17" t="s">
        <v>294</v>
      </c>
      <c r="B3" s="18"/>
    </row>
    <row r="4" customFormat="false" ht="26.85" hidden="false" customHeight="false" outlineLevel="0" collapsed="false">
      <c r="A4" s="19" t="s">
        <v>295</v>
      </c>
      <c r="B4" s="20" t="s">
        <v>296</v>
      </c>
    </row>
    <row r="5" customFormat="false" ht="15" hidden="false" customHeight="false" outlineLevel="0" collapsed="false">
      <c r="A5" s="19" t="s">
        <v>6</v>
      </c>
      <c r="B5" s="20" t="s">
        <v>297</v>
      </c>
    </row>
    <row r="6" customFormat="false" ht="15" hidden="false" customHeight="false" outlineLevel="0" collapsed="false">
      <c r="A6" s="19" t="s">
        <v>5</v>
      </c>
      <c r="B6" s="20" t="s">
        <v>298</v>
      </c>
    </row>
    <row r="7" customFormat="false" ht="26.85" hidden="false" customHeight="false" outlineLevel="0" collapsed="false">
      <c r="A7" s="19" t="s">
        <v>299</v>
      </c>
      <c r="B7" s="20" t="s">
        <v>300</v>
      </c>
    </row>
    <row r="9" customFormat="false" ht="15" hidden="false" customHeight="false" outlineLevel="0" collapsed="false">
      <c r="A9" s="17" t="s">
        <v>301</v>
      </c>
      <c r="B9" s="18"/>
    </row>
    <row r="10" customFormat="false" ht="26.85" hidden="false" customHeight="false" outlineLevel="0" collapsed="false">
      <c r="A10" s="19" t="s">
        <v>302</v>
      </c>
      <c r="B10" s="20" t="s">
        <v>303</v>
      </c>
    </row>
    <row r="11" customFormat="false" ht="26.85" hidden="false" customHeight="false" outlineLevel="0" collapsed="false">
      <c r="A11" s="19" t="s">
        <v>304</v>
      </c>
      <c r="B11" s="20" t="s">
        <v>305</v>
      </c>
    </row>
    <row r="12" customFormat="false" ht="26.85" hidden="false" customHeight="false" outlineLevel="0" collapsed="false">
      <c r="A12" s="19" t="s">
        <v>306</v>
      </c>
      <c r="B12" s="20" t="s">
        <v>307</v>
      </c>
    </row>
    <row r="13" customFormat="false" ht="26.85" hidden="false" customHeight="false" outlineLevel="0" collapsed="false">
      <c r="A13" s="19" t="s">
        <v>308</v>
      </c>
      <c r="B13" s="20" t="s">
        <v>309</v>
      </c>
    </row>
    <row r="15" customFormat="false" ht="15" hidden="false" customHeight="false" outlineLevel="0" collapsed="false">
      <c r="A15" s="17" t="s">
        <v>310</v>
      </c>
      <c r="B15" s="18"/>
    </row>
    <row r="16" customFormat="false" ht="26.85" hidden="false" customHeight="false" outlineLevel="0" collapsed="false">
      <c r="A16" s="19" t="s">
        <v>311</v>
      </c>
      <c r="B16" s="20" t="s">
        <v>312</v>
      </c>
    </row>
    <row r="17" customFormat="false" ht="15" hidden="false" customHeight="false" outlineLevel="0" collapsed="false">
      <c r="A17" s="19" t="s">
        <v>313</v>
      </c>
      <c r="B17" s="20" t="s">
        <v>314</v>
      </c>
    </row>
    <row r="19" customFormat="false" ht="15" hidden="false" customHeight="false" outlineLevel="0" collapsed="false">
      <c r="A19" s="17" t="s">
        <v>315</v>
      </c>
      <c r="B19" s="18"/>
    </row>
    <row r="20" customFormat="false" ht="15" hidden="false" customHeight="false" outlineLevel="0" collapsed="false">
      <c r="A20" s="19" t="s">
        <v>316</v>
      </c>
      <c r="B20" s="20" t="s">
        <v>317</v>
      </c>
    </row>
    <row r="21" customFormat="false" ht="15" hidden="false" customHeight="false" outlineLevel="0" collapsed="false">
      <c r="A21" s="19" t="s">
        <v>318</v>
      </c>
      <c r="B21" s="20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2026-10-21T02:47:52Z</dcterms:created>
  <dc:creator>openpyxl</dc:creator>
  <dc:description/>
  <dc:language>ko-KR</dc:language>
  <cp:lastModifiedBy/>
  <dcterms:modified xsi:type="dcterms:W3CDTF">2026-10-21T02:47:52Z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